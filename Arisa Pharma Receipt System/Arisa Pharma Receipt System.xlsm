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ai\Desktop\"/>
    </mc:Choice>
  </mc:AlternateContent>
  <xr:revisionPtr revIDLastSave="0" documentId="13_ncr:1_{D918161A-CF65-4060-A5CB-B73977A11440}" xr6:coauthVersionLast="47" xr6:coauthVersionMax="47" xr10:uidLastSave="{00000000-0000-0000-0000-000000000000}"/>
  <bookViews>
    <workbookView xWindow="-108" yWindow="-108" windowWidth="23256" windowHeight="12456" xr2:uid="{8952DDC4-6901-4EB3-80E4-222A160B115B}"/>
  </bookViews>
  <sheets>
    <sheet name="FORMAT (LOCKED)" sheetId="1" r:id="rId1"/>
    <sheet name="EMPTY RECEIPT" sheetId="2" r:id="rId2"/>
  </sheets>
  <functionGroups builtInGroupCount="19"/>
  <definedNames>
    <definedName name="_xlnm._FilterDatabase" localSheetId="0" hidden="1">'FORMAT (LOCKED)'!$B$15:$G$157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5" i="2" l="1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B18" i="2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G17" i="2"/>
  <c r="B17" i="2"/>
  <c r="G16" i="2"/>
  <c r="G154" i="2" s="1"/>
  <c r="G156" i="2" s="1"/>
  <c r="G8" i="2"/>
  <c r="G7" i="2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90" i="1"/>
  <c r="G89" i="1"/>
  <c r="G69" i="1"/>
  <c r="G130" i="1"/>
  <c r="G7" i="1"/>
  <c r="B17" i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G155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8" i="1"/>
  <c r="G154" i="1" l="1"/>
  <c r="G156" i="1" s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<sst xmlns="http://schemas.openxmlformats.org/spreadsheetml/2006/main" count="321" uniqueCount="158">
  <si>
    <t>QTY</t>
  </si>
  <si>
    <t>DESCRIPTION</t>
  </si>
  <si>
    <t>NO</t>
  </si>
  <si>
    <t>PRICE</t>
  </si>
  <si>
    <t>TOTAL</t>
  </si>
  <si>
    <t>AGE</t>
  </si>
  <si>
    <t>DATE</t>
  </si>
  <si>
    <t>GENDER</t>
  </si>
  <si>
    <t>ADDRESS</t>
  </si>
  <si>
    <t>De Mesa Bldg. Governor Panotes Ave. Barangay 8 Daet, Camarines Norte</t>
  </si>
  <si>
    <t>ACETYLCYCSTEINE</t>
  </si>
  <si>
    <t>AEROVENT SALBU NEB</t>
  </si>
  <si>
    <t>ALLOPURINOL 100mg</t>
  </si>
  <si>
    <t>ALLOPURINOL 300mg</t>
  </si>
  <si>
    <t>AMBROXOL CAPSULE 75mg</t>
  </si>
  <si>
    <t>AMLODIPINE 5mg</t>
  </si>
  <si>
    <t>AMLODIPINE 10mg</t>
  </si>
  <si>
    <t>AMOXICILLIN 500mg</t>
  </si>
  <si>
    <t>ASCORBIC ACID 500mg</t>
  </si>
  <si>
    <t>ASPIRIN 80mg TAB</t>
  </si>
  <si>
    <t>ATENOLOL 50mg</t>
  </si>
  <si>
    <t>ATORVASTATIN 20mg</t>
  </si>
  <si>
    <t>ATORVASTATIN 40mg</t>
  </si>
  <si>
    <t>AZITHROMYCIN 500mg TAB</t>
  </si>
  <si>
    <t>BETAHISTINE 16mg</t>
  </si>
  <si>
    <t>BUDESONIDE NEB</t>
  </si>
  <si>
    <t>CALCIUM CARBONATE</t>
  </si>
  <si>
    <t>CARBOCISTEINE CAPSULE</t>
  </si>
  <si>
    <t>CAPTOPRIL 25mg</t>
  </si>
  <si>
    <t>CARBAMAZEPINE 200mg</t>
  </si>
  <si>
    <t>CARVEDILOL 6.25mg</t>
  </si>
  <si>
    <t>CARVEDILOL 25mg</t>
  </si>
  <si>
    <t>CAFIXIME 400mg TAB</t>
  </si>
  <si>
    <t>CEFUROXIME 500mg</t>
  </si>
  <si>
    <t>CELECOXIB 200mg</t>
  </si>
  <si>
    <t>CETIRIZINE 10mg</t>
  </si>
  <si>
    <t>CIPROFLOXACIN 500mg</t>
  </si>
  <si>
    <t>CINNARIZINE 25mg TAB</t>
  </si>
  <si>
    <t>CITICOLINE 500mg</t>
  </si>
  <si>
    <t>CLINDAMYCIN 300mg</t>
  </si>
  <si>
    <t>CLOBETASOL OINTMENT</t>
  </si>
  <si>
    <t>CLONIDINE 75mg</t>
  </si>
  <si>
    <t>CLOXACILLIN CAP/TAB</t>
  </si>
  <si>
    <t>CLOPIDOGREL 75mg</t>
  </si>
  <si>
    <t>CO-AMOXICLAV 625mg</t>
  </si>
  <si>
    <t>COLCHICINE TAB</t>
  </si>
  <si>
    <t>DIPHENHYDRAMINE 50mg</t>
  </si>
  <si>
    <t>DICLOFENAC 50mg TAB</t>
  </si>
  <si>
    <t>DIGOXIN 0.25 TAB</t>
  </si>
  <si>
    <t>DOMPERIDONE</t>
  </si>
  <si>
    <t>ETORICOXIB 90mg</t>
  </si>
  <si>
    <t>ETORICOXIB 120mg</t>
  </si>
  <si>
    <t>EPOETIN</t>
  </si>
  <si>
    <t>ESOPERAZOL 40mg</t>
  </si>
  <si>
    <t>FEBUXOSTAT 40mg</t>
  </si>
  <si>
    <t>FEBUXOSTAT 80mg</t>
  </si>
  <si>
    <t>FERROUS TAB/CAP</t>
  </si>
  <si>
    <t>FERROUS+FOLIC ACID</t>
  </si>
  <si>
    <t>FINASTERIDE 5mg</t>
  </si>
  <si>
    <t>FUROSEMIDE 20mg</t>
  </si>
  <si>
    <t>FUROSEMIDE 40mg</t>
  </si>
  <si>
    <t>GABAPENTIN 100mg TAB</t>
  </si>
  <si>
    <t>GLICLAZIDE 60mg</t>
  </si>
  <si>
    <t>GLICLAZIDE 80mg</t>
  </si>
  <si>
    <t>GLIMEPIRIDE 2mg TAB</t>
  </si>
  <si>
    <t>HYOSCINE 10mg TAB</t>
  </si>
  <si>
    <t>INSULIN GLARGINE</t>
  </si>
  <si>
    <t>ISDN 10mg</t>
  </si>
  <si>
    <t>IRBESARTAN 300mg</t>
  </si>
  <si>
    <t>LAGUNDI 300mg TAB</t>
  </si>
  <si>
    <t>LAGUNDI 600mg TAB</t>
  </si>
  <si>
    <t>LINAGLIPTIN 5mg</t>
  </si>
  <si>
    <t>LOSARTAN 50mg</t>
  </si>
  <si>
    <t>LOSARTAN 100mg</t>
  </si>
  <si>
    <t>LOSARTAN+AMLODIPINE 50/5mg</t>
  </si>
  <si>
    <t>LOSARTAN+HCTZ 12.5mg/50mg TAB</t>
  </si>
  <si>
    <t>LORATADINE 10mg CHEWABLE</t>
  </si>
  <si>
    <t>LEVOFLOXACIN 500mg TAB</t>
  </si>
  <si>
    <t>LEVOTHYROXINE</t>
  </si>
  <si>
    <t>LEVETIRACETAM 500mg TAB</t>
  </si>
  <si>
    <t>MELOXICAM 7.5mg</t>
  </si>
  <si>
    <t>MELOXICAM 15mg</t>
  </si>
  <si>
    <t>METFORMIN 500mg</t>
  </si>
  <si>
    <t>MEFENAMIC 500mg</t>
  </si>
  <si>
    <t>METRONIDAZOLE 500mg TAB</t>
  </si>
  <si>
    <t>MONTELUKAST+LEVOCETIRIZINE 10mg/5mg TAB</t>
  </si>
  <si>
    <t>MONTELUKAST 10mg TAB</t>
  </si>
  <si>
    <t>METOPROLOL 50mg TAB</t>
  </si>
  <si>
    <t>METOPROLOL 100mg TAB (LIMITED)</t>
  </si>
  <si>
    <t>MULTIVITAMINS+MINERALS</t>
  </si>
  <si>
    <t>MUPIROCIN OINTMENT</t>
  </si>
  <si>
    <t>OMEPRAZOLE 20mg</t>
  </si>
  <si>
    <t>OMEPRAZOLE 40mg</t>
  </si>
  <si>
    <t>PANTOPRAZOLE 40mg</t>
  </si>
  <si>
    <t>PANTOPRAZOLE + DOMPERIDONE</t>
  </si>
  <si>
    <t>PARACETAMOL 500mg</t>
  </si>
  <si>
    <t>PARACETAMOL+TRAMADOL 325mg TAB</t>
  </si>
  <si>
    <t>POTASSIUM CHLORIDE</t>
  </si>
  <si>
    <t>PREGABALIN 75mg TAB</t>
  </si>
  <si>
    <t>PREDNISONE 10mg</t>
  </si>
  <si>
    <t>PREDNISONE 20mg</t>
  </si>
  <si>
    <t>PROPRANOLOL 10mg</t>
  </si>
  <si>
    <t>PROPRANOLOL 40mg</t>
  </si>
  <si>
    <t>ROSUVASTATIN 10mg</t>
  </si>
  <si>
    <t>ROSUVASTATIN 40mg</t>
  </si>
  <si>
    <t>ROSUVASTATIN 20mg</t>
  </si>
  <si>
    <t>SALBUTAMOL 4mg</t>
  </si>
  <si>
    <t>SALBUTAMOL+IPRATROPIUM</t>
  </si>
  <si>
    <t>SALMETEROL+FLUTICASONE INHALER 250mcg</t>
  </si>
  <si>
    <t>SILYMARIN+MULTIVITAMINS</t>
  </si>
  <si>
    <t>SIMVASTATIN 20mg</t>
  </si>
  <si>
    <t>SIMVASTATIN 40mg</t>
  </si>
  <si>
    <t>SITAGLIPTIN 50mg TAB</t>
  </si>
  <si>
    <t>SITAGLIPTIN+METFORMIN 50mg/500mg</t>
  </si>
  <si>
    <t>SITAGLIPTIN+METFORMIN 50mg/1g TAB</t>
  </si>
  <si>
    <t>SPIRONOLACTONE 25mg</t>
  </si>
  <si>
    <t>SYMDEX D</t>
  </si>
  <si>
    <t>TAMSULOSIN 400mcg TAB</t>
  </si>
  <si>
    <t>TELMISARTAN 40mg</t>
  </si>
  <si>
    <t>TERBUTALINE SULFATE 2.5mg</t>
  </si>
  <si>
    <t>TRANEXAMIC 500mg CAPSULE</t>
  </si>
  <si>
    <t>TRIMETAZIDINE 35mg</t>
  </si>
  <si>
    <t>URSODEOXYCHOLIC ACID</t>
  </si>
  <si>
    <t>VITAMIN B COMPLEX TAB</t>
  </si>
  <si>
    <t>VITAMIN B COMPLEX CAPSULE</t>
  </si>
  <si>
    <t>PRICE QUOTATION FOR THE OFFICE OF THE VICE PRESIDENT</t>
  </si>
  <si>
    <t>NAME OF PATIENT</t>
  </si>
  <si>
    <t>TOTAL AMOUNT</t>
  </si>
  <si>
    <t>LESS 20%</t>
  </si>
  <si>
    <t>*Price may change without prior notice*</t>
  </si>
  <si>
    <t>Received by:</t>
  </si>
  <si>
    <t>Purchasing Assistant</t>
  </si>
  <si>
    <t/>
  </si>
  <si>
    <t>PWD</t>
  </si>
  <si>
    <r>
      <rPr>
        <b/>
        <sz val="9"/>
        <color theme="1"/>
        <rFont val="Cambria"/>
        <family val="1"/>
      </rPr>
      <t>Sheet Protection Password:</t>
    </r>
    <r>
      <rPr>
        <sz val="9"/>
        <color theme="1"/>
        <rFont val="Cambria"/>
        <family val="1"/>
      </rPr>
      <t xml:space="preserve"> 1234</t>
    </r>
  </si>
  <si>
    <t>AMBROXOL SYRUP 15mg</t>
  </si>
  <si>
    <t>AMOXICILLIN DROPS</t>
  </si>
  <si>
    <t>AMOXICILLIN SUSP 125mg</t>
  </si>
  <si>
    <t>ASCORBIC ACID DROPS</t>
  </si>
  <si>
    <t>ASCORBIC ACID SYRUP</t>
  </si>
  <si>
    <t>CABOCISTEINE DROPS</t>
  </si>
  <si>
    <t>CARBOCISTEINE SYRUP 125mg</t>
  </si>
  <si>
    <t>CEFACLOR SUSP 125mg/60mL</t>
  </si>
  <si>
    <t>CEFALEXIN DROPS</t>
  </si>
  <si>
    <t>CETERIZINE DROPS</t>
  </si>
  <si>
    <t>CLARITHROMYCIN SUSP 125mg</t>
  </si>
  <si>
    <t>CO-AMIXICLAV SUSP 312.50mg</t>
  </si>
  <si>
    <t>CO-AMOXICLAV SUSP 457mg</t>
  </si>
  <si>
    <t>COTRIMOXAZOLE SUSP 457mg</t>
  </si>
  <si>
    <t>COTRIMOXAZOLE SUSP 240mg</t>
  </si>
  <si>
    <t>LAGUNDI SYRUP 300mg</t>
  </si>
  <si>
    <t>MULTIVITAMINS DROPS</t>
  </si>
  <si>
    <t>MULTIVITAMINS SYRUP</t>
  </si>
  <si>
    <t>PARACETAMOL 250mg</t>
  </si>
  <si>
    <t>PARACETAMOL DROPS</t>
  </si>
  <si>
    <t>PARACETAMOL SYRUP 120mg</t>
  </si>
  <si>
    <t>SYMDEX DROPS</t>
  </si>
  <si>
    <t>SYMDEX SYRUP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</si>
</sst>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₱-464]#,##0.00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Cambria"/>
      <family val="1"/>
    </font>
    <font>
      <b/>
      <sz val="11"/>
      <color theme="1"/>
      <name val="Cambria"/>
      <family val="1"/>
    </font>
    <font>
      <sz val="8"/>
      <color theme="1"/>
      <name val="Cambria"/>
      <family val="1"/>
    </font>
    <font>
      <sz val="11"/>
      <color rgb="FF000000"/>
      <name val="Cambria"/>
      <family val="1"/>
    </font>
    <font>
      <sz val="11"/>
      <name val="Cambria"/>
      <family val="1"/>
    </font>
    <font>
      <sz val="9"/>
      <color theme="1"/>
      <name val="Cambria"/>
      <family val="1"/>
    </font>
    <font>
      <b/>
      <sz val="9"/>
      <color theme="1"/>
      <name val="Cambria"/>
      <family val="1"/>
    </font>
    <font>
      <sz val="11"/>
      <color theme="0"/>
      <name val="Cambria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left" vertical="center"/>
    </xf>
    <xf numFmtId="0" fontId="1" fillId="0" borderId="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164" fontId="0" fillId="0" borderId="16" xfId="0" applyNumberFormat="1" applyBorder="1" applyAlignment="1">
      <alignment horizontal="left"/>
    </xf>
    <xf numFmtId="164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left" vertical="center"/>
    </xf>
    <xf numFmtId="164" fontId="1" fillId="0" borderId="22" xfId="0" applyNumberFormat="1" applyFont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14" fontId="1" fillId="2" borderId="3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2" borderId="0" xfId="0" applyFont="1" applyFill="1" applyAlignment="1">
      <alignment horizontal="left" vertical="center"/>
    </xf>
    <xf numFmtId="0" fontId="1" fillId="2" borderId="0" xfId="0" applyFont="1" applyFill="1"/>
    <xf numFmtId="0" fontId="1" fillId="0" borderId="0" xfId="0" applyFont="1"/>
    <xf numFmtId="0" fontId="2" fillId="2" borderId="0" xfId="0" applyFont="1" applyFill="1" applyAlignment="1">
      <alignment horizontal="center" vertical="center"/>
    </xf>
    <xf numFmtId="0" fontId="5" fillId="2" borderId="0" xfId="0" applyFont="1" applyFill="1"/>
    <xf numFmtId="0" fontId="5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4" fontId="1" fillId="0" borderId="0" xfId="0" applyNumberFormat="1" applyFont="1" applyAlignment="1">
      <alignment horizontal="center" vertical="center"/>
    </xf>
    <xf numFmtId="0" fontId="8" fillId="2" borderId="0" xfId="0" applyFont="1" applyFill="1"/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top"/>
    </xf>
    <xf numFmtId="0" fontId="1" fillId="2" borderId="0" xfId="0" applyFont="1" applyFill="1" applyAlignment="1">
      <alignment horizontal="center"/>
    </xf>
    <xf numFmtId="0" fontId="1" fillId="2" borderId="2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right" vertical="center"/>
    </xf>
    <xf numFmtId="0" fontId="1" fillId="0" borderId="21" xfId="0" applyFon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microsoft.com/office/2006/relationships/vbaProject" Target="vbaProject.bin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2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13.emf"/><Relationship Id="rId10" Type="http://schemas.openxmlformats.org/officeDocument/2006/relationships/image" Target="../media/image4.emf"/><Relationship Id="rId4" Type="http://schemas.openxmlformats.org/officeDocument/2006/relationships/image" Target="../media/image12.emf"/><Relationship Id="rId9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581977</xdr:colOff>
      <xdr:row>2</xdr:row>
      <xdr:rowOff>136208</xdr:rowOff>
    </xdr:from>
    <xdr:to>
      <xdr:col>9</xdr:col>
      <xdr:colOff>2824162</xdr:colOff>
      <xdr:row>12</xdr:row>
      <xdr:rowOff>160019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8522017" y="1591628"/>
          <a:ext cx="3606165" cy="2180271"/>
          <a:chOff x="9063037" y="4289108"/>
          <a:chExt cx="3606165" cy="2180271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063037" y="4289108"/>
            <a:ext cx="3606165" cy="2180271"/>
          </a:xfrm>
          <a:prstGeom prst="roundRect">
            <a:avLst>
              <a:gd name="adj" fmla="val 6600"/>
            </a:avLst>
          </a:prstGeom>
          <a:solidFill>
            <a:sysClr val="window" lastClr="FFFFFF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9" name="Group 18">
                <a:extLst>
                  <a:ext uri="{FF2B5EF4-FFF2-40B4-BE49-F238E27FC236}">
                    <a16:creationId xmlns:a16="http://schemas.microsoft.com/office/drawing/2014/main" id="{00000000-0008-0000-0000-000013000000}"/>
                  </a:ext>
                </a:extLst>
              </xdr:cNvPr>
              <xdr:cNvGrpSpPr/>
            </xdr:nvGrpSpPr>
            <xdr:grpSpPr>
              <a:xfrm>
                <a:off x="9108780" y="4351754"/>
                <a:ext cx="3524084" cy="2031171"/>
                <a:chOff x="9108780" y="4351754"/>
                <a:chExt cx="3524084" cy="2031171"/>
              </a:xfrm>
            </xdr:grpSpPr>
            <xdr:sp macro="" textlink="">
              <xdr:nvSpPr>
                <xdr:cNvPr id="4100" name="Product_Tools_Label" hidden="1">
                  <a:extLst>
                    <a:ext uri="{63B3BB69-23CF-44E3-9099-C40C66FF867C}">
                      <a14:compatExt spid="_x0000_s4100"/>
                    </a:ext>
                    <a:ext uri="{FF2B5EF4-FFF2-40B4-BE49-F238E27FC236}">
                      <a16:creationId xmlns:a16="http://schemas.microsoft.com/office/drawing/2014/main" id="{00000000-0008-0000-0000-000004100000}"/>
                    </a:ext>
                  </a:extLst>
                </xdr:cNvPr>
                <xdr:cNvSpPr/>
              </xdr:nvSpPr>
              <xdr:spPr bwMode="auto">
                <a:xfrm>
                  <a:off x="9108780" y="4351754"/>
                  <a:ext cx="3514678" cy="190364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grpSp>
              <xdr:nvGrpSpPr>
                <xdr:cNvPr id="18" name="Group 17">
                  <a:extLst>
                    <a:ext uri="{FF2B5EF4-FFF2-40B4-BE49-F238E27FC236}">
                      <a16:creationId xmlns:a16="http://schemas.microsoft.com/office/drawing/2014/main" id="{00000000-0008-0000-0000-000012000000}"/>
                    </a:ext>
                  </a:extLst>
                </xdr:cNvPr>
                <xdr:cNvGrpSpPr/>
              </xdr:nvGrpSpPr>
              <xdr:grpSpPr>
                <a:xfrm>
                  <a:off x="9118171" y="4610834"/>
                  <a:ext cx="3514693" cy="1772091"/>
                  <a:chOff x="9118171" y="4610834"/>
                  <a:chExt cx="3514693" cy="1772091"/>
                </a:xfrm>
              </xdr:grpSpPr>
              <xdr:grpSp>
                <xdr:nvGrpSpPr>
                  <xdr:cNvPr id="14" name="Group 13">
                    <a:extLst>
                      <a:ext uri="{FF2B5EF4-FFF2-40B4-BE49-F238E27FC236}">
                        <a16:creationId xmlns:a16="http://schemas.microsoft.com/office/drawing/2014/main" id="{00000000-0008-0000-0000-00000E000000}"/>
                      </a:ext>
                    </a:extLst>
                  </xdr:cNvPr>
                  <xdr:cNvGrpSpPr/>
                </xdr:nvGrpSpPr>
                <xdr:grpSpPr>
                  <a:xfrm>
                    <a:off x="9118171" y="5433794"/>
                    <a:ext cx="3514693" cy="949131"/>
                    <a:chOff x="9146865" y="4656554"/>
                    <a:chExt cx="3514693" cy="949131"/>
                  </a:xfrm>
                </xdr:grpSpPr>
                <xdr:grpSp>
                  <xdr:nvGrpSpPr>
                    <xdr:cNvPr id="13" name="Group 12">
                      <a:extLst>
                        <a:ext uri="{FF2B5EF4-FFF2-40B4-BE49-F238E27FC236}">
                          <a16:creationId xmlns:a16="http://schemas.microsoft.com/office/drawing/2014/main" id="{00000000-0008-0000-0000-00000D000000}"/>
                        </a:ext>
                      </a:extLst>
                    </xdr:cNvPr>
                    <xdr:cNvGrpSpPr/>
                  </xdr:nvGrpSpPr>
                  <xdr:grpSpPr>
                    <a:xfrm>
                      <a:off x="9146865" y="4854947"/>
                      <a:ext cx="3423202" cy="750738"/>
                      <a:chOff x="9154507" y="4611107"/>
                      <a:chExt cx="3423202" cy="750738"/>
                    </a:xfrm>
                  </xdr:grpSpPr>
                  <xdr:grpSp>
                    <xdr:nvGrpSpPr>
                      <xdr:cNvPr id="4" name="Group 3">
                        <a:extLst>
                          <a:ext uri="{FF2B5EF4-FFF2-40B4-BE49-F238E27FC236}">
                            <a16:creationId xmlns:a16="http://schemas.microsoft.com/office/drawing/2014/main" id="{00000000-0008-0000-0000-000004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154520" y="4611107"/>
                        <a:ext cx="3423183" cy="211359"/>
                        <a:chOff x="9419403" y="4313447"/>
                        <a:chExt cx="3421373" cy="215537"/>
                      </a:xfrm>
                    </xdr:grpSpPr>
                    <xdr:sp macro="" textlink="">
                      <xdr:nvSpPr>
                        <xdr:cNvPr id="4101" name="Description_Label" hidden="1">
                          <a:extLst>
                            <a:ext uri="{63B3BB69-23CF-44E3-9099-C40C66FF867C}">
                              <a14:compatExt spid="_x0000_s4101"/>
                            </a:ext>
                            <a:ext uri="{FF2B5EF4-FFF2-40B4-BE49-F238E27FC236}">
                              <a16:creationId xmlns:a16="http://schemas.microsoft.com/office/drawing/2014/main" id="{00000000-0008-0000-0000-00000510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9419403" y="4331545"/>
                          <a:ext cx="708660" cy="179375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  <xdr:sp macro="" textlink="">
                      <xdr:nvSpPr>
                        <xdr:cNvPr id="4104" name="Description_Textbox" hidden="1">
                          <a:extLst>
                            <a:ext uri="{63B3BB69-23CF-44E3-9099-C40C66FF867C}">
                              <a14:compatExt spid="_x0000_s4104"/>
                            </a:ext>
                            <a:ext uri="{FF2B5EF4-FFF2-40B4-BE49-F238E27FC236}">
                              <a16:creationId xmlns:a16="http://schemas.microsoft.com/office/drawing/2014/main" id="{00000000-0008-0000-0000-00000810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10181398" y="4313447"/>
                          <a:ext cx="2659378" cy="215537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xdr:grpSp>
                  <xdr:grpSp>
                    <xdr:nvGrpSpPr>
                      <xdr:cNvPr id="3" name="Group 2">
                        <a:extLst>
                          <a:ext uri="{FF2B5EF4-FFF2-40B4-BE49-F238E27FC236}">
                            <a16:creationId xmlns:a16="http://schemas.microsoft.com/office/drawing/2014/main" id="{00000000-0008-0000-0000-000003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154507" y="4845541"/>
                        <a:ext cx="3423202" cy="213283"/>
                        <a:chOff x="9419395" y="4524943"/>
                        <a:chExt cx="3421394" cy="215538"/>
                      </a:xfrm>
                    </xdr:grpSpPr>
                    <xdr:sp macro="" textlink="">
                      <xdr:nvSpPr>
                        <xdr:cNvPr id="4102" name="Price_Label" hidden="1">
                          <a:extLst>
                            <a:ext uri="{63B3BB69-23CF-44E3-9099-C40C66FF867C}">
                              <a14:compatExt spid="_x0000_s4102"/>
                            </a:ext>
                            <a:ext uri="{FF2B5EF4-FFF2-40B4-BE49-F238E27FC236}">
                              <a16:creationId xmlns:a16="http://schemas.microsoft.com/office/drawing/2014/main" id="{00000000-0008-0000-0000-00000610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9419395" y="4557274"/>
                          <a:ext cx="361405" cy="150826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  <xdr:sp macro="" textlink="">
                      <xdr:nvSpPr>
                        <xdr:cNvPr id="4105" name="Price_Texbox" hidden="1">
                          <a:extLst>
                            <a:ext uri="{63B3BB69-23CF-44E3-9099-C40C66FF867C}">
                              <a14:compatExt spid="_x0000_s4105"/>
                            </a:ext>
                            <a:ext uri="{FF2B5EF4-FFF2-40B4-BE49-F238E27FC236}">
                              <a16:creationId xmlns:a16="http://schemas.microsoft.com/office/drawing/2014/main" id="{00000000-0008-0000-0000-00000910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9895114" y="4524943"/>
                          <a:ext cx="2945675" cy="215538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xdr:grpSp>
                  <xdr:grpSp>
                    <xdr:nvGrpSpPr>
                      <xdr:cNvPr id="9" name="Group 8">
                        <a:extLst>
                          <a:ext uri="{FF2B5EF4-FFF2-40B4-BE49-F238E27FC236}">
                            <a16:creationId xmlns:a16="http://schemas.microsoft.com/office/drawing/2014/main" id="{00000000-0008-0000-0000-000009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74528" y="5079905"/>
                        <a:ext cx="2583180" cy="281940"/>
                        <a:chOff x="9829800" y="5680710"/>
                        <a:chExt cx="2583180" cy="281940"/>
                      </a:xfrm>
                    </xdr:grpSpPr>
                    <xdr:sp macro="" textlink="">
                      <xdr:nvSpPr>
                        <xdr:cNvPr id="4108" name="Clear" hidden="1">
                          <a:extLst>
                            <a:ext uri="{63B3BB69-23CF-44E3-9099-C40C66FF867C}">
                              <a14:compatExt spid="_x0000_s4108"/>
                            </a:ext>
                            <a:ext uri="{FF2B5EF4-FFF2-40B4-BE49-F238E27FC236}">
                              <a16:creationId xmlns:a16="http://schemas.microsoft.com/office/drawing/2014/main" id="{00000000-0008-0000-0000-00000C10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9829800" y="5680710"/>
                          <a:ext cx="1059180" cy="281940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  <xdr:sp macro="" textlink="">
                      <xdr:nvSpPr>
                        <xdr:cNvPr id="4109" name="Update" hidden="1">
                          <a:extLst>
                            <a:ext uri="{63B3BB69-23CF-44E3-9099-C40C66FF867C}">
                              <a14:compatExt spid="_x0000_s4109"/>
                            </a:ext>
                            <a:ext uri="{FF2B5EF4-FFF2-40B4-BE49-F238E27FC236}">
                              <a16:creationId xmlns:a16="http://schemas.microsoft.com/office/drawing/2014/main" id="{00000000-0008-0000-0000-00000D10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11353800" y="5680710"/>
                          <a:ext cx="1059180" cy="281940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xdr:grpSp>
                </xdr:grpSp>
                <xdr:sp macro="" textlink="">
                  <xdr:nvSpPr>
                    <xdr:cNvPr id="4114" name="Label2" hidden="1">
                      <a:extLst>
                        <a:ext uri="{63B3BB69-23CF-44E3-9099-C40C66FF867C}">
                          <a14:compatExt spid="_x0000_s4114"/>
                        </a:ext>
                        <a:ext uri="{FF2B5EF4-FFF2-40B4-BE49-F238E27FC236}">
                          <a16:creationId xmlns:a16="http://schemas.microsoft.com/office/drawing/2014/main" id="{00000000-0008-0000-0000-0000121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146880" y="4656554"/>
                      <a:ext cx="3514678" cy="190364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1240B29-F687-4F45-9708-019B960494DF}">
                        <a14:hiddenLine w="9525">
                          <a:noFill/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</xdr:sp>
              </xdr:grpSp>
              <xdr:grpSp>
                <xdr:nvGrpSpPr>
                  <xdr:cNvPr id="17" name="Group 16">
                    <a:extLst>
                      <a:ext uri="{FF2B5EF4-FFF2-40B4-BE49-F238E27FC236}">
                        <a16:creationId xmlns:a16="http://schemas.microsoft.com/office/drawing/2014/main" id="{00000000-0008-0000-0000-000011000000}"/>
                      </a:ext>
                    </a:extLst>
                  </xdr:cNvPr>
                  <xdr:cNvGrpSpPr/>
                </xdr:nvGrpSpPr>
                <xdr:grpSpPr>
                  <a:xfrm>
                    <a:off x="9118186" y="4610834"/>
                    <a:ext cx="3514678" cy="716816"/>
                    <a:chOff x="9118186" y="4610834"/>
                    <a:chExt cx="3514678" cy="716816"/>
                  </a:xfrm>
                </xdr:grpSpPr>
                <xdr:sp macro="" textlink="">
                  <xdr:nvSpPr>
                    <xdr:cNvPr id="4115" name="Label3" hidden="1">
                      <a:extLst>
                        <a:ext uri="{63B3BB69-23CF-44E3-9099-C40C66FF867C}">
                          <a14:compatExt spid="_x0000_s4115"/>
                        </a:ext>
                        <a:ext uri="{FF2B5EF4-FFF2-40B4-BE49-F238E27FC236}">
                          <a16:creationId xmlns:a16="http://schemas.microsoft.com/office/drawing/2014/main" id="{00000000-0008-0000-0000-0000131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118186" y="4610834"/>
                      <a:ext cx="3514678" cy="190364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1240B29-F687-4F45-9708-019B960494DF}">
                        <a14:hiddenLine w="9525">
                          <a:noFill/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</xdr:sp>
                <xdr:grpSp>
                  <xdr:nvGrpSpPr>
                    <xdr:cNvPr id="16" name="Group 15">
                      <a:extLst>
                        <a:ext uri="{FF2B5EF4-FFF2-40B4-BE49-F238E27FC236}">
                          <a16:creationId xmlns:a16="http://schemas.microsoft.com/office/drawing/2014/main" id="{00000000-0008-0000-0000-000010000000}"/>
                        </a:ext>
                      </a:extLst>
                    </xdr:cNvPr>
                    <xdr:cNvGrpSpPr/>
                  </xdr:nvGrpSpPr>
                  <xdr:grpSpPr>
                    <a:xfrm>
                      <a:off x="9141391" y="4806950"/>
                      <a:ext cx="3468268" cy="520700"/>
                      <a:chOff x="9141391" y="4806950"/>
                      <a:chExt cx="3468268" cy="520700"/>
                    </a:xfrm>
                  </xdr:grpSpPr>
                  <xdr:sp macro="" textlink="">
                    <xdr:nvSpPr>
                      <xdr:cNvPr id="4110" name="Searchbar" hidden="1">
                        <a:extLst>
                          <a:ext uri="{63B3BB69-23CF-44E3-9099-C40C66FF867C}">
                            <a14:compatExt spid="_x0000_s4110"/>
                          </a:ext>
                          <a:ext uri="{FF2B5EF4-FFF2-40B4-BE49-F238E27FC236}">
                            <a16:creationId xmlns:a16="http://schemas.microsoft.com/office/drawing/2014/main" id="{00000000-0008-0000-0000-00000E100000}"/>
                          </a:ext>
                        </a:extLst>
                      </xdr:cNvPr>
                      <xdr:cNvSpPr/>
                    </xdr:nvSpPr>
                    <xdr:spPr bwMode="auto">
                      <a:xfrm>
                        <a:off x="9141391" y="4806950"/>
                        <a:ext cx="3468268" cy="206961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  <a:extLst>
                        <a:ext uri="{91240B29-F687-4F45-9708-019B960494DF}">
                          <a14:hiddenLine w="9525">
                            <a:noFill/>
                            <a:miter lim="800000"/>
                            <a:headEnd/>
                            <a:tailEnd/>
                          </a14:hiddenLine>
                        </a:ext>
                      </a:extLst>
                    </xdr:spPr>
                  </xdr:sp>
                  <xdr:grpSp>
                    <xdr:nvGrpSpPr>
                      <xdr:cNvPr id="15" name="Group 14">
                        <a:extLst>
                          <a:ext uri="{FF2B5EF4-FFF2-40B4-BE49-F238E27FC236}">
                            <a16:creationId xmlns:a16="http://schemas.microsoft.com/office/drawing/2014/main" id="{00000000-0008-0000-0000-00000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83935" y="5045710"/>
                        <a:ext cx="2583180" cy="281940"/>
                        <a:chOff x="9527540" y="5045710"/>
                        <a:chExt cx="2583180" cy="281940"/>
                      </a:xfrm>
                    </xdr:grpSpPr>
                    <xdr:sp macro="" textlink="">
                      <xdr:nvSpPr>
                        <xdr:cNvPr id="4117" name="Search_Clear" hidden="1">
                          <a:extLst>
                            <a:ext uri="{63B3BB69-23CF-44E3-9099-C40C66FF867C}">
                              <a14:compatExt spid="_x0000_s4117"/>
                            </a:ext>
                            <a:ext uri="{FF2B5EF4-FFF2-40B4-BE49-F238E27FC236}">
                              <a16:creationId xmlns:a16="http://schemas.microsoft.com/office/drawing/2014/main" id="{00000000-0008-0000-0000-00001510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9527540" y="5045710"/>
                          <a:ext cx="1059180" cy="281940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  <xdr:sp macro="" textlink="">
                      <xdr:nvSpPr>
                        <xdr:cNvPr id="4118" name="Search_Enter" hidden="1">
                          <a:extLst>
                            <a:ext uri="{63B3BB69-23CF-44E3-9099-C40C66FF867C}">
                              <a14:compatExt spid="_x0000_s4118"/>
                            </a:ext>
                            <a:ext uri="{FF2B5EF4-FFF2-40B4-BE49-F238E27FC236}">
                              <a16:creationId xmlns:a16="http://schemas.microsoft.com/office/drawing/2014/main" id="{00000000-0008-0000-0000-000016100000}"/>
                            </a:ext>
                          </a:extLst>
                        </xdr:cNvPr>
                        <xdr:cNvSpPr/>
                      </xdr:nvSpPr>
                      <xdr:spPr bwMode="auto">
                        <a:xfrm>
                          <a:off x="11051540" y="5045710"/>
                          <a:ext cx="1059180" cy="281940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  <a:extLst>
                          <a:ext uri="{91240B29-F687-4F45-9708-019B960494DF}">
                            <a14:hiddenLine w="9525">
                              <a:noFill/>
                              <a:miter lim="800000"/>
                              <a:headEnd/>
                              <a:tailEnd/>
                            </a14:hiddenLine>
                          </a:ext>
                        </a:extLst>
                      </xdr:spPr>
                    </xdr:sp>
                  </xdr:grpSp>
                </xdr:grpSp>
              </xdr:grpSp>
            </xdr:grpSp>
          </xdr:grp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11</xdr:row>
          <xdr:rowOff>129538</xdr:rowOff>
        </xdr:from>
        <xdr:to>
          <xdr:col>7</xdr:col>
          <xdr:colOff>3629</xdr:colOff>
          <xdr:row>12</xdr:row>
          <xdr:rowOff>156390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pSpPr/>
          </xdr:nvGrpSpPr>
          <xdr:grpSpPr>
            <a:xfrm>
              <a:off x="632460" y="3558538"/>
              <a:ext cx="6991169" cy="206961"/>
              <a:chOff x="629920" y="3246062"/>
              <a:chExt cx="6995161" cy="208280"/>
            </a:xfrm>
          </xdr:grpSpPr>
          <xdr:sp macro="" textlink="">
            <xdr:nvSpPr>
              <xdr:cNvPr id="2144" name="Searchbar" hidden="1">
                <a:extLst>
                  <a:ext uri="{63B3BB69-23CF-44E3-9099-C40C66FF867C}">
                    <a14:compatExt spid="_x0000_s2144"/>
                  </a:ext>
                  <a:ext uri="{FF2B5EF4-FFF2-40B4-BE49-F238E27FC236}">
                    <a16:creationId xmlns:a16="http://schemas.microsoft.com/office/drawing/2014/main" id="{00000000-0008-0000-0100-000060080000}"/>
                  </a:ext>
                </a:extLst>
              </xdr:cNvPr>
              <xdr:cNvSpPr/>
            </xdr:nvSpPr>
            <xdr:spPr bwMode="auto">
              <a:xfrm>
                <a:off x="1192953" y="3246062"/>
                <a:ext cx="4566920" cy="2082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45" name="Button 97" hidden="1">
                <a:extLst>
                  <a:ext uri="{63B3BB69-23CF-44E3-9099-C40C66FF867C}">
                    <a14:compatExt spid="_x0000_s2145"/>
                  </a:ext>
                  <a:ext uri="{FF2B5EF4-FFF2-40B4-BE49-F238E27FC236}">
                    <a16:creationId xmlns:a16="http://schemas.microsoft.com/office/drawing/2014/main" id="{00000000-0008-0000-0100-000061080000}"/>
                  </a:ext>
                </a:extLst>
              </xdr:cNvPr>
              <xdr:cNvSpPr/>
            </xdr:nvSpPr>
            <xdr:spPr bwMode="auto">
              <a:xfrm>
                <a:off x="5786967" y="3257545"/>
                <a:ext cx="873760" cy="1854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mbria"/>
                    <a:ea typeface="Cambria"/>
                  </a:rPr>
                  <a:t>Enter</a:t>
                </a:r>
              </a:p>
            </xdr:txBody>
          </xdr:sp>
          <xdr:sp macro="" textlink="">
            <xdr:nvSpPr>
              <xdr:cNvPr id="2146" name="Button 98" hidden="1">
                <a:extLst>
                  <a:ext uri="{63B3BB69-23CF-44E3-9099-C40C66FF867C}">
                    <a14:compatExt spid="_x0000_s2146"/>
                  </a:ext>
                  <a:ext uri="{FF2B5EF4-FFF2-40B4-BE49-F238E27FC236}">
                    <a16:creationId xmlns:a16="http://schemas.microsoft.com/office/drawing/2014/main" id="{00000000-0008-0000-0100-000062080000}"/>
                  </a:ext>
                </a:extLst>
              </xdr:cNvPr>
              <xdr:cNvSpPr/>
            </xdr:nvSpPr>
            <xdr:spPr bwMode="auto">
              <a:xfrm>
                <a:off x="6687821" y="3261353"/>
                <a:ext cx="937260" cy="1778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mbria"/>
                    <a:ea typeface="Cambria"/>
                  </a:rPr>
                  <a:t>Clear</a:t>
                </a:r>
              </a:p>
            </xdr:txBody>
          </xdr:sp>
          <xdr:sp macro="" textlink="">
            <xdr:nvSpPr>
              <xdr:cNvPr id="2147" name="Label1" hidden="1">
                <a:extLst>
                  <a:ext uri="{63B3BB69-23CF-44E3-9099-C40C66FF867C}">
                    <a14:compatExt spid="_x0000_s2147"/>
                  </a:ext>
                  <a:ext uri="{FF2B5EF4-FFF2-40B4-BE49-F238E27FC236}">
                    <a16:creationId xmlns:a16="http://schemas.microsoft.com/office/drawing/2014/main" id="{00000000-0008-0000-0100-000063080000}"/>
                  </a:ext>
                </a:extLst>
              </xdr:cNvPr>
              <xdr:cNvSpPr/>
            </xdr:nvSpPr>
            <xdr:spPr bwMode="auto">
              <a:xfrm>
                <a:off x="629920" y="3256273"/>
                <a:ext cx="535940" cy="1879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8</xdr:col>
      <xdr:colOff>211015</xdr:colOff>
      <xdr:row>9</xdr:row>
      <xdr:rowOff>18118</xdr:rowOff>
    </xdr:from>
    <xdr:to>
      <xdr:col>9</xdr:col>
      <xdr:colOff>2550835</xdr:colOff>
      <xdr:row>13</xdr:row>
      <xdr:rowOff>65010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8149670" y="2948354"/>
          <a:ext cx="3704492" cy="905874"/>
          <a:chOff x="9220200" y="3071446"/>
          <a:chExt cx="3704492" cy="914400"/>
        </a:xfrm>
      </xdr:grpSpPr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>
            <a:spLocks noChangeAspect="1"/>
          </xdr:cNvSpPr>
        </xdr:nvSpPr>
        <xdr:spPr>
          <a:xfrm>
            <a:off x="9220200" y="3071446"/>
            <a:ext cx="3704492" cy="914400"/>
          </a:xfrm>
          <a:prstGeom prst="roundRect">
            <a:avLst>
              <a:gd name="adj" fmla="val 12180"/>
            </a:avLst>
          </a:prstGeom>
          <a:solidFill>
            <a:sysClr val="window" lastClr="FFFFFF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5" name="Group 4">
                <a:extLst>
                  <a:ext uri="{FF2B5EF4-FFF2-40B4-BE49-F238E27FC236}">
                    <a16:creationId xmlns:a16="http://schemas.microsoft.com/office/drawing/2014/main" id="{00000000-0008-0000-0100-000005000000}"/>
                  </a:ext>
                </a:extLst>
              </xdr:cNvPr>
              <xdr:cNvGrpSpPr/>
            </xdr:nvGrpSpPr>
            <xdr:grpSpPr>
              <a:xfrm>
                <a:off x="9284691" y="3187414"/>
                <a:ext cx="3575527" cy="682469"/>
                <a:chOff x="9311649" y="3223256"/>
                <a:chExt cx="3573780" cy="670564"/>
              </a:xfrm>
            </xdr:grpSpPr>
            <xdr:grpSp>
              <xdr:nvGrpSpPr>
                <xdr:cNvPr id="4" name="Group 3">
                  <a:extLst>
                    <a:ext uri="{FF2B5EF4-FFF2-40B4-BE49-F238E27FC236}">
                      <a16:creationId xmlns:a16="http://schemas.microsoft.com/office/drawing/2014/main" id="{00000000-0008-0000-0100-000004000000}"/>
                    </a:ext>
                  </a:extLst>
                </xdr:cNvPr>
                <xdr:cNvGrpSpPr/>
              </xdr:nvGrpSpPr>
              <xdr:grpSpPr>
                <a:xfrm>
                  <a:off x="9372600" y="3543300"/>
                  <a:ext cx="3451860" cy="350520"/>
                  <a:chOff x="9372600" y="3543300"/>
                  <a:chExt cx="3451860" cy="350520"/>
                </a:xfrm>
              </xdr:grpSpPr>
              <xdr:sp macro="" textlink="">
                <xdr:nvSpPr>
                  <xdr:cNvPr id="2055" name="Button 7" hidden="1">
                    <a:extLst>
                      <a:ext uri="{63B3BB69-23CF-44E3-9099-C40C66FF867C}">
                        <a14:compatExt spid="_x0000_s2055"/>
                      </a:ext>
                      <a:ext uri="{FF2B5EF4-FFF2-40B4-BE49-F238E27FC236}">
                        <a16:creationId xmlns:a16="http://schemas.microsoft.com/office/drawing/2014/main" id="{00000000-0008-0000-0100-000007080000}"/>
                      </a:ext>
                    </a:extLst>
                  </xdr:cNvPr>
                  <xdr:cNvSpPr/>
                </xdr:nvSpPr>
                <xdr:spPr bwMode="auto">
                  <a:xfrm>
                    <a:off x="9372600" y="3543300"/>
                    <a:ext cx="1661160" cy="350520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27432" rIns="36576" bIns="27432" anchor="ctr" upright="1"/>
                  <a:lstStyle/>
                  <a:p>
                    <a:pPr algn="ctr" rtl="0">
                      <a:defRPr sz="1000"/>
                    </a:pPr>
                    <a:r>
                      <a:rPr lang="en-US" sz="1100" b="0" i="0" u="none" strike="noStrike" baseline="0">
                        <a:solidFill>
                          <a:srgbClr val="000000"/>
                        </a:solidFill>
                        <a:latin typeface="Cambria"/>
                        <a:ea typeface="Cambria"/>
                      </a:rPr>
                      <a:t>Clear Sheet</a:t>
                    </a:r>
                  </a:p>
                </xdr:txBody>
              </xdr:sp>
              <xdr:sp macro="" textlink="">
                <xdr:nvSpPr>
                  <xdr:cNvPr id="2116" name="Button 68" hidden="1">
                    <a:extLst>
                      <a:ext uri="{63B3BB69-23CF-44E3-9099-C40C66FF867C}">
                        <a14:compatExt spid="_x0000_s2116"/>
                      </a:ext>
                      <a:ext uri="{FF2B5EF4-FFF2-40B4-BE49-F238E27FC236}">
                        <a16:creationId xmlns:a16="http://schemas.microsoft.com/office/drawing/2014/main" id="{00000000-0008-0000-0100-000044080000}"/>
                      </a:ext>
                    </a:extLst>
                  </xdr:cNvPr>
                  <xdr:cNvSpPr/>
                </xdr:nvSpPr>
                <xdr:spPr bwMode="auto">
                  <a:xfrm>
                    <a:off x="11163300" y="3543300"/>
                    <a:ext cx="1661160" cy="350520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36576" tIns="27432" rIns="36576" bIns="27432" anchor="ctr" upright="1"/>
                  <a:lstStyle/>
                  <a:p>
                    <a:pPr algn="ctr" rtl="0">
                      <a:defRPr sz="1000"/>
                    </a:pPr>
                    <a:r>
                      <a:rPr lang="en-US" sz="1100" b="0" i="0" u="none" strike="noStrike" baseline="0">
                        <a:solidFill>
                          <a:srgbClr val="000000"/>
                        </a:solidFill>
                        <a:latin typeface="Cambria"/>
                        <a:ea typeface="Cambria"/>
                      </a:rPr>
                      <a:t>Save as PDF</a:t>
                    </a:r>
                  </a:p>
                </xdr:txBody>
              </xdr:sp>
            </xdr:grpSp>
            <xdr:sp macro="" textlink="">
              <xdr:nvSpPr>
                <xdr:cNvPr id="2120" name="Tools_Label" hidden="1">
                  <a:extLst>
                    <a:ext uri="{63B3BB69-23CF-44E3-9099-C40C66FF867C}">
                      <a14:compatExt spid="_x0000_s2120"/>
                    </a:ext>
                    <a:ext uri="{FF2B5EF4-FFF2-40B4-BE49-F238E27FC236}">
                      <a16:creationId xmlns:a16="http://schemas.microsoft.com/office/drawing/2014/main" id="{00000000-0008-0000-0100-000048080000}"/>
                    </a:ext>
                  </a:extLst>
                </xdr:cNvPr>
                <xdr:cNvSpPr/>
              </xdr:nvSpPr>
              <xdr:spPr bwMode="auto">
                <a:xfrm>
                  <a:off x="9311649" y="3223256"/>
                  <a:ext cx="3573780" cy="15239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7620</xdr:rowOff>
        </xdr:from>
        <xdr:to>
          <xdr:col>6</xdr:col>
          <xdr:colOff>624840</xdr:colOff>
          <xdr:row>10</xdr:row>
          <xdr:rowOff>198120</xdr:rowOff>
        </xdr:to>
        <xdr:sp macro="" textlink="">
          <xdr:nvSpPr>
            <xdr:cNvPr id="2198" name="PWD_Discount_Toggle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24" Type="http://schemas.openxmlformats.org/officeDocument/2006/relationships/control" Target="../activeX/activeX1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ctrlProp" Target="../ctrlProps/ctrlProp3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5.emf"/><Relationship Id="rId11" Type="http://schemas.openxmlformats.org/officeDocument/2006/relationships/ctrlProp" Target="../ctrlProps/ctrlProp1.xml"/><Relationship Id="rId5" Type="http://schemas.openxmlformats.org/officeDocument/2006/relationships/control" Target="../activeX/activeX14.xml"/><Relationship Id="rId10" Type="http://schemas.openxmlformats.org/officeDocument/2006/relationships/image" Target="../media/image17.emf"/><Relationship Id="rId4" Type="http://schemas.openxmlformats.org/officeDocument/2006/relationships/image" Target="../media/image14.emf"/><Relationship Id="rId9" Type="http://schemas.openxmlformats.org/officeDocument/2006/relationships/control" Target="../activeX/activeX16.xml"/><Relationship Id="rId1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AC637-14F3-4FE4-8324-223AE86F634B}">
  <sheetPr codeName="Sheet4">
    <tabColor rgb="FFFF0000"/>
    <pageSetUpPr autoPageBreaks="0"/>
  </sheetPr>
  <dimension ref="A1:J162"/>
  <sheetViews>
    <sheetView tabSelected="1" zoomScaleNormal="100" workbookViewId="0">
      <selection activeCell="B2" sqref="B2:G2"/>
    </sheetView>
  </sheetViews>
  <sheetFormatPr defaultRowHeight="13.8" x14ac:dyDescent="0.25"/>
  <cols>
    <col min="1" max="1" width="8.88671875" style="15"/>
    <col min="2" max="2" width="20" style="15" customWidth="1"/>
    <col min="3" max="3" width="8.21875" style="15" customWidth="1"/>
    <col min="4" max="4" width="36.6640625" style="19" customWidth="1"/>
    <col min="5" max="6" width="10.77734375" style="15" customWidth="1"/>
    <col min="7" max="7" width="15.77734375" style="15" customWidth="1"/>
    <col min="8" max="8" width="4.6640625" style="23" customWidth="1"/>
    <col min="9" max="9" width="19.88671875" style="23" customWidth="1"/>
    <col min="10" max="10" width="52.33203125" style="23" customWidth="1"/>
    <col min="11" max="11" width="13.33203125" style="23" customWidth="1"/>
    <col min="12" max="12" width="5.33203125" style="23" customWidth="1"/>
    <col min="13" max="16384" width="8.88671875" style="23"/>
  </cols>
  <sheetData>
    <row r="1" spans="2:10" x14ac:dyDescent="0.25">
      <c r="D1" s="15"/>
    </row>
    <row r="2" spans="2:10" ht="100.8" customHeight="1" x14ac:dyDescent="0.25">
      <c r="B2" s="40" t="e" vm="1">
        <v>#VALUE!</v>
      </c>
      <c r="C2" s="40"/>
      <c r="D2" s="40"/>
      <c r="E2" s="40"/>
      <c r="F2" s="40"/>
      <c r="G2" s="40"/>
    </row>
    <row r="3" spans="2:10" ht="14.4" customHeight="1" x14ac:dyDescent="0.25">
      <c r="B3" s="40" t="s">
        <v>9</v>
      </c>
      <c r="C3" s="40"/>
      <c r="D3" s="40"/>
      <c r="E3" s="40"/>
      <c r="F3" s="40"/>
      <c r="G3" s="40"/>
    </row>
    <row r="4" spans="2:10" ht="14.4" customHeight="1" x14ac:dyDescent="0.25">
      <c r="D4" s="15"/>
    </row>
    <row r="5" spans="2:10" ht="14.4" customHeight="1" x14ac:dyDescent="0.25">
      <c r="B5" s="33" t="s">
        <v>125</v>
      </c>
      <c r="C5" s="33"/>
      <c r="D5" s="33"/>
      <c r="E5" s="33"/>
      <c r="F5" s="33"/>
      <c r="G5" s="33"/>
    </row>
    <row r="6" spans="2:10" x14ac:dyDescent="0.25">
      <c r="D6" s="15"/>
    </row>
    <row r="7" spans="2:10" ht="19.95" customHeight="1" x14ac:dyDescent="0.25">
      <c r="D7" s="15"/>
      <c r="F7" s="16" t="s">
        <v>2</v>
      </c>
      <c r="G7" s="17">
        <f ca="1">(NOW() - DATE(1970,1,1)) * 86400</f>
        <v>1723929368.6800003</v>
      </c>
    </row>
    <row r="8" spans="2:10" ht="19.95" customHeight="1" x14ac:dyDescent="0.25">
      <c r="D8" s="15"/>
      <c r="F8" s="16" t="s">
        <v>6</v>
      </c>
      <c r="G8" s="18">
        <f ca="1">TODAY()</f>
        <v>45521</v>
      </c>
    </row>
    <row r="9" spans="2:10" ht="19.95" customHeight="1" x14ac:dyDescent="0.25">
      <c r="B9" s="19" t="s">
        <v>126</v>
      </c>
      <c r="C9" s="43"/>
      <c r="D9" s="43"/>
      <c r="F9" s="16" t="s">
        <v>5</v>
      </c>
      <c r="G9" s="20"/>
      <c r="J9" s="24"/>
    </row>
    <row r="10" spans="2:10" ht="19.95" customHeight="1" x14ac:dyDescent="0.25">
      <c r="B10" s="16" t="s">
        <v>8</v>
      </c>
      <c r="C10" s="43"/>
      <c r="D10" s="43"/>
      <c r="F10" s="16" t="s">
        <v>7</v>
      </c>
      <c r="G10" s="20"/>
    </row>
    <row r="11" spans="2:10" ht="19.95" customHeight="1" x14ac:dyDescent="0.25">
      <c r="B11" s="16"/>
      <c r="D11" s="15"/>
      <c r="F11" s="16" t="s">
        <v>133</v>
      </c>
      <c r="G11" s="21" t="b">
        <v>0</v>
      </c>
      <c r="J11" s="25"/>
    </row>
    <row r="12" spans="2:10" x14ac:dyDescent="0.25">
      <c r="B12" s="16"/>
      <c r="D12" s="15"/>
      <c r="F12" s="16"/>
      <c r="J12" s="42"/>
    </row>
    <row r="13" spans="2:10" x14ac:dyDescent="0.25">
      <c r="B13" s="22"/>
      <c r="C13" s="23" t="s">
        <v>132</v>
      </c>
      <c r="D13" s="23"/>
      <c r="F13" s="16"/>
      <c r="J13" s="42"/>
    </row>
    <row r="14" spans="2:10" ht="14.4" thickBot="1" x14ac:dyDescent="0.3">
      <c r="D14" s="15"/>
      <c r="I14" s="41" t="s">
        <v>134</v>
      </c>
      <c r="J14" s="41"/>
    </row>
    <row r="15" spans="2:10" ht="14.4" customHeight="1" thickBot="1" x14ac:dyDescent="0.3">
      <c r="B15" s="3" t="s">
        <v>2</v>
      </c>
      <c r="C15" s="34" t="s">
        <v>1</v>
      </c>
      <c r="D15" s="35"/>
      <c r="E15" s="4" t="s">
        <v>0</v>
      </c>
      <c r="F15" s="4" t="s">
        <v>3</v>
      </c>
      <c r="G15" s="5" t="s">
        <v>4</v>
      </c>
    </row>
    <row r="16" spans="2:10" ht="14.4" customHeight="1" x14ac:dyDescent="0.3">
      <c r="B16" s="6">
        <v>1</v>
      </c>
      <c r="C16" s="36" t="s">
        <v>10</v>
      </c>
      <c r="D16" s="37"/>
      <c r="E16" s="7"/>
      <c r="F16" s="8">
        <v>113</v>
      </c>
      <c r="G16" s="9">
        <f>E16*F16</f>
        <v>0</v>
      </c>
      <c r="J16" s="26"/>
    </row>
    <row r="17" spans="2:10" ht="14.4" customHeight="1" x14ac:dyDescent="0.25">
      <c r="B17" s="10">
        <f>B16+1</f>
        <v>2</v>
      </c>
      <c r="C17" s="38" t="s">
        <v>11</v>
      </c>
      <c r="D17" s="39"/>
      <c r="E17" s="1"/>
      <c r="F17" s="2">
        <v>40</v>
      </c>
      <c r="G17" s="11">
        <f>E17*F17</f>
        <v>0</v>
      </c>
      <c r="I17" s="28"/>
      <c r="J17" s="27"/>
    </row>
    <row r="18" spans="2:10" ht="14.4" customHeight="1" x14ac:dyDescent="0.25">
      <c r="B18" s="10">
        <f>B17+1</f>
        <v>3</v>
      </c>
      <c r="C18" s="31" t="s">
        <v>12</v>
      </c>
      <c r="D18" s="32"/>
      <c r="E18" s="1"/>
      <c r="F18" s="2">
        <v>10</v>
      </c>
      <c r="G18" s="11">
        <f>E18*F18</f>
        <v>0</v>
      </c>
      <c r="J18" s="30" t="s">
        <v>132</v>
      </c>
    </row>
    <row r="19" spans="2:10" ht="14.4" customHeight="1" x14ac:dyDescent="0.25">
      <c r="B19" s="10">
        <f t="shared" ref="B19:B82" si="0">B18+1</f>
        <v>4</v>
      </c>
      <c r="C19" s="31" t="s">
        <v>13</v>
      </c>
      <c r="D19" s="32"/>
      <c r="E19" s="1"/>
      <c r="F19" s="2">
        <v>12</v>
      </c>
      <c r="G19" s="11">
        <f t="shared" ref="G19:G82" si="1">E19*F19</f>
        <v>0</v>
      </c>
      <c r="J19" s="30" t="s">
        <v>132</v>
      </c>
    </row>
    <row r="20" spans="2:10" ht="14.4" customHeight="1" x14ac:dyDescent="0.25">
      <c r="B20" s="10">
        <f t="shared" si="0"/>
        <v>5</v>
      </c>
      <c r="C20" s="31" t="s">
        <v>14</v>
      </c>
      <c r="D20" s="32"/>
      <c r="E20" s="1"/>
      <c r="F20" s="2">
        <v>35</v>
      </c>
      <c r="G20" s="11">
        <f t="shared" si="1"/>
        <v>0</v>
      </c>
    </row>
    <row r="21" spans="2:10" ht="14.4" customHeight="1" x14ac:dyDescent="0.25">
      <c r="B21" s="10">
        <f t="shared" si="0"/>
        <v>6</v>
      </c>
      <c r="C21" s="31" t="s">
        <v>15</v>
      </c>
      <c r="D21" s="32"/>
      <c r="E21" s="1"/>
      <c r="F21" s="2">
        <v>15</v>
      </c>
      <c r="G21" s="11">
        <f t="shared" si="1"/>
        <v>0</v>
      </c>
    </row>
    <row r="22" spans="2:10" ht="14.4" customHeight="1" x14ac:dyDescent="0.25">
      <c r="B22" s="10">
        <f t="shared" si="0"/>
        <v>7</v>
      </c>
      <c r="C22" s="31" t="s">
        <v>16</v>
      </c>
      <c r="D22" s="32"/>
      <c r="E22" s="1"/>
      <c r="F22" s="2">
        <v>25</v>
      </c>
      <c r="G22" s="11">
        <f t="shared" si="1"/>
        <v>0</v>
      </c>
    </row>
    <row r="23" spans="2:10" ht="14.4" customHeight="1" x14ac:dyDescent="0.25">
      <c r="B23" s="10">
        <f t="shared" si="0"/>
        <v>8</v>
      </c>
      <c r="C23" s="31" t="s">
        <v>17</v>
      </c>
      <c r="D23" s="32"/>
      <c r="E23" s="1"/>
      <c r="F23" s="2">
        <v>18</v>
      </c>
      <c r="G23" s="11">
        <f t="shared" si="1"/>
        <v>0</v>
      </c>
    </row>
    <row r="24" spans="2:10" ht="14.4" customHeight="1" x14ac:dyDescent="0.25">
      <c r="B24" s="10">
        <f t="shared" si="0"/>
        <v>9</v>
      </c>
      <c r="C24" s="31" t="s">
        <v>18</v>
      </c>
      <c r="D24" s="32"/>
      <c r="E24" s="1"/>
      <c r="F24" s="2">
        <v>12</v>
      </c>
      <c r="G24" s="11">
        <f t="shared" si="1"/>
        <v>0</v>
      </c>
    </row>
    <row r="25" spans="2:10" ht="14.4" customHeight="1" x14ac:dyDescent="0.25">
      <c r="B25" s="10">
        <f t="shared" si="0"/>
        <v>10</v>
      </c>
      <c r="C25" s="31" t="s">
        <v>19</v>
      </c>
      <c r="D25" s="32"/>
      <c r="E25" s="1"/>
      <c r="F25" s="2">
        <v>25</v>
      </c>
      <c r="G25" s="11">
        <f t="shared" si="1"/>
        <v>0</v>
      </c>
    </row>
    <row r="26" spans="2:10" ht="14.4" customHeight="1" x14ac:dyDescent="0.25">
      <c r="B26" s="10">
        <f t="shared" si="0"/>
        <v>11</v>
      </c>
      <c r="C26" s="31" t="s">
        <v>20</v>
      </c>
      <c r="D26" s="32"/>
      <c r="E26" s="1"/>
      <c r="F26" s="2">
        <v>15</v>
      </c>
      <c r="G26" s="11">
        <f t="shared" si="1"/>
        <v>0</v>
      </c>
    </row>
    <row r="27" spans="2:10" ht="14.4" customHeight="1" x14ac:dyDescent="0.25">
      <c r="B27" s="10">
        <f t="shared" si="0"/>
        <v>12</v>
      </c>
      <c r="C27" s="31" t="s">
        <v>21</v>
      </c>
      <c r="D27" s="32"/>
      <c r="E27" s="1"/>
      <c r="F27" s="2">
        <v>28</v>
      </c>
      <c r="G27" s="11">
        <f t="shared" si="1"/>
        <v>0</v>
      </c>
    </row>
    <row r="28" spans="2:10" ht="14.4" customHeight="1" x14ac:dyDescent="0.25">
      <c r="B28" s="10">
        <f t="shared" si="0"/>
        <v>13</v>
      </c>
      <c r="C28" s="31" t="s">
        <v>22</v>
      </c>
      <c r="D28" s="32"/>
      <c r="E28" s="1"/>
      <c r="F28" s="2">
        <v>38</v>
      </c>
      <c r="G28" s="11">
        <f t="shared" si="1"/>
        <v>0</v>
      </c>
    </row>
    <row r="29" spans="2:10" ht="14.4" customHeight="1" x14ac:dyDescent="0.25">
      <c r="B29" s="10">
        <f t="shared" si="0"/>
        <v>14</v>
      </c>
      <c r="C29" s="31" t="s">
        <v>23</v>
      </c>
      <c r="D29" s="32"/>
      <c r="E29" s="1"/>
      <c r="F29" s="2">
        <v>85</v>
      </c>
      <c r="G29" s="11">
        <f t="shared" si="1"/>
        <v>0</v>
      </c>
    </row>
    <row r="30" spans="2:10" ht="14.4" customHeight="1" x14ac:dyDescent="0.25">
      <c r="B30" s="10">
        <f t="shared" si="0"/>
        <v>15</v>
      </c>
      <c r="C30" s="31" t="s">
        <v>24</v>
      </c>
      <c r="D30" s="32"/>
      <c r="E30" s="1"/>
      <c r="F30" s="2">
        <v>29</v>
      </c>
      <c r="G30" s="11">
        <f t="shared" si="1"/>
        <v>0</v>
      </c>
    </row>
    <row r="31" spans="2:10" ht="14.4" customHeight="1" x14ac:dyDescent="0.25">
      <c r="B31" s="10">
        <f t="shared" si="0"/>
        <v>16</v>
      </c>
      <c r="C31" s="31" t="s">
        <v>25</v>
      </c>
      <c r="D31" s="32"/>
      <c r="E31" s="1"/>
      <c r="F31" s="2">
        <v>85</v>
      </c>
      <c r="G31" s="11">
        <f t="shared" si="1"/>
        <v>0</v>
      </c>
    </row>
    <row r="32" spans="2:10" ht="14.4" customHeight="1" x14ac:dyDescent="0.25">
      <c r="B32" s="10">
        <f t="shared" si="0"/>
        <v>17</v>
      </c>
      <c r="C32" s="31" t="s">
        <v>26</v>
      </c>
      <c r="D32" s="32"/>
      <c r="E32" s="1"/>
      <c r="F32" s="2">
        <v>12</v>
      </c>
      <c r="G32" s="11">
        <f t="shared" si="1"/>
        <v>0</v>
      </c>
    </row>
    <row r="33" spans="2:7" ht="14.4" customHeight="1" x14ac:dyDescent="0.25">
      <c r="B33" s="10">
        <f t="shared" si="0"/>
        <v>18</v>
      </c>
      <c r="C33" s="31" t="s">
        <v>27</v>
      </c>
      <c r="D33" s="32"/>
      <c r="E33" s="1"/>
      <c r="F33" s="2">
        <v>15</v>
      </c>
      <c r="G33" s="11">
        <f t="shared" si="1"/>
        <v>0</v>
      </c>
    </row>
    <row r="34" spans="2:7" ht="14.4" customHeight="1" x14ac:dyDescent="0.25">
      <c r="B34" s="10">
        <f t="shared" si="0"/>
        <v>19</v>
      </c>
      <c r="C34" s="31" t="s">
        <v>28</v>
      </c>
      <c r="D34" s="32"/>
      <c r="E34" s="1"/>
      <c r="F34" s="2">
        <v>25</v>
      </c>
      <c r="G34" s="11">
        <f t="shared" si="1"/>
        <v>0</v>
      </c>
    </row>
    <row r="35" spans="2:7" ht="14.4" customHeight="1" x14ac:dyDescent="0.25">
      <c r="B35" s="10">
        <f t="shared" si="0"/>
        <v>20</v>
      </c>
      <c r="C35" s="31" t="s">
        <v>29</v>
      </c>
      <c r="D35" s="32"/>
      <c r="E35" s="1"/>
      <c r="F35" s="2">
        <v>30</v>
      </c>
      <c r="G35" s="11">
        <f t="shared" si="1"/>
        <v>0</v>
      </c>
    </row>
    <row r="36" spans="2:7" ht="14.4" customHeight="1" x14ac:dyDescent="0.25">
      <c r="B36" s="10">
        <f t="shared" si="0"/>
        <v>21</v>
      </c>
      <c r="C36" s="31" t="s">
        <v>30</v>
      </c>
      <c r="D36" s="32"/>
      <c r="E36" s="1"/>
      <c r="F36" s="2">
        <v>29</v>
      </c>
      <c r="G36" s="11">
        <f t="shared" si="1"/>
        <v>0</v>
      </c>
    </row>
    <row r="37" spans="2:7" ht="14.4" customHeight="1" x14ac:dyDescent="0.25">
      <c r="B37" s="10">
        <f t="shared" si="0"/>
        <v>22</v>
      </c>
      <c r="C37" s="31" t="s">
        <v>31</v>
      </c>
      <c r="D37" s="32"/>
      <c r="E37" s="1"/>
      <c r="F37" s="2">
        <v>38</v>
      </c>
      <c r="G37" s="11">
        <f t="shared" si="1"/>
        <v>0</v>
      </c>
    </row>
    <row r="38" spans="2:7" ht="14.4" customHeight="1" x14ac:dyDescent="0.25">
      <c r="B38" s="10">
        <f t="shared" si="0"/>
        <v>23</v>
      </c>
      <c r="C38" s="31" t="s">
        <v>32</v>
      </c>
      <c r="D38" s="32"/>
      <c r="E38" s="1"/>
      <c r="F38" s="2">
        <v>135</v>
      </c>
      <c r="G38" s="11">
        <f t="shared" si="1"/>
        <v>0</v>
      </c>
    </row>
    <row r="39" spans="2:7" ht="14.4" customHeight="1" x14ac:dyDescent="0.25">
      <c r="B39" s="10">
        <f t="shared" si="0"/>
        <v>24</v>
      </c>
      <c r="C39" s="31" t="s">
        <v>33</v>
      </c>
      <c r="D39" s="32"/>
      <c r="E39" s="1"/>
      <c r="F39" s="2">
        <v>57</v>
      </c>
      <c r="G39" s="11">
        <f t="shared" si="1"/>
        <v>0</v>
      </c>
    </row>
    <row r="40" spans="2:7" ht="14.4" customHeight="1" x14ac:dyDescent="0.25">
      <c r="B40" s="10">
        <f t="shared" si="0"/>
        <v>25</v>
      </c>
      <c r="C40" s="31" t="s">
        <v>34</v>
      </c>
      <c r="D40" s="32"/>
      <c r="E40" s="1"/>
      <c r="F40" s="2">
        <v>55</v>
      </c>
      <c r="G40" s="11">
        <f t="shared" si="1"/>
        <v>0</v>
      </c>
    </row>
    <row r="41" spans="2:7" ht="14.4" customHeight="1" x14ac:dyDescent="0.25">
      <c r="B41" s="10">
        <f t="shared" si="0"/>
        <v>26</v>
      </c>
      <c r="C41" s="31" t="s">
        <v>35</v>
      </c>
      <c r="D41" s="32"/>
      <c r="E41" s="1"/>
      <c r="F41" s="2">
        <v>16</v>
      </c>
      <c r="G41" s="11">
        <f t="shared" si="1"/>
        <v>0</v>
      </c>
    </row>
    <row r="42" spans="2:7" ht="14.4" customHeight="1" x14ac:dyDescent="0.25">
      <c r="B42" s="10">
        <f t="shared" si="0"/>
        <v>27</v>
      </c>
      <c r="C42" s="31" t="s">
        <v>36</v>
      </c>
      <c r="D42" s="32"/>
      <c r="E42" s="1"/>
      <c r="F42" s="2">
        <v>45</v>
      </c>
      <c r="G42" s="11">
        <f t="shared" si="1"/>
        <v>0</v>
      </c>
    </row>
    <row r="43" spans="2:7" ht="14.4" customHeight="1" x14ac:dyDescent="0.25">
      <c r="B43" s="10">
        <f t="shared" si="0"/>
        <v>28</v>
      </c>
      <c r="C43" s="31" t="s">
        <v>37</v>
      </c>
      <c r="D43" s="32"/>
      <c r="E43" s="1"/>
      <c r="F43" s="2">
        <v>36</v>
      </c>
      <c r="G43" s="11">
        <f t="shared" si="1"/>
        <v>0</v>
      </c>
    </row>
    <row r="44" spans="2:7" ht="14.4" customHeight="1" x14ac:dyDescent="0.25">
      <c r="B44" s="10">
        <f t="shared" si="0"/>
        <v>29</v>
      </c>
      <c r="C44" s="31" t="s">
        <v>38</v>
      </c>
      <c r="D44" s="32"/>
      <c r="E44" s="1"/>
      <c r="F44" s="2">
        <v>83</v>
      </c>
      <c r="G44" s="11">
        <f t="shared" si="1"/>
        <v>0</v>
      </c>
    </row>
    <row r="45" spans="2:7" ht="14.4" customHeight="1" x14ac:dyDescent="0.25">
      <c r="B45" s="10">
        <f t="shared" si="0"/>
        <v>30</v>
      </c>
      <c r="C45" s="31" t="s">
        <v>39</v>
      </c>
      <c r="D45" s="32"/>
      <c r="E45" s="1"/>
      <c r="F45" s="2">
        <v>37</v>
      </c>
      <c r="G45" s="11">
        <f t="shared" si="1"/>
        <v>0</v>
      </c>
    </row>
    <row r="46" spans="2:7" ht="14.4" customHeight="1" x14ac:dyDescent="0.25">
      <c r="B46" s="10">
        <f t="shared" si="0"/>
        <v>31</v>
      </c>
      <c r="C46" s="31" t="s">
        <v>40</v>
      </c>
      <c r="D46" s="32"/>
      <c r="E46" s="1"/>
      <c r="F46" s="2">
        <v>220</v>
      </c>
      <c r="G46" s="11">
        <f t="shared" si="1"/>
        <v>0</v>
      </c>
    </row>
    <row r="47" spans="2:7" ht="14.4" customHeight="1" x14ac:dyDescent="0.25">
      <c r="B47" s="10">
        <f t="shared" si="0"/>
        <v>32</v>
      </c>
      <c r="C47" s="31" t="s">
        <v>41</v>
      </c>
      <c r="D47" s="32"/>
      <c r="E47" s="1"/>
      <c r="F47" s="2">
        <v>35</v>
      </c>
      <c r="G47" s="11">
        <f t="shared" si="1"/>
        <v>0</v>
      </c>
    </row>
    <row r="48" spans="2:7" ht="14.4" customHeight="1" x14ac:dyDescent="0.25">
      <c r="B48" s="10">
        <f t="shared" si="0"/>
        <v>33</v>
      </c>
      <c r="C48" s="31" t="s">
        <v>42</v>
      </c>
      <c r="D48" s="32"/>
      <c r="E48" s="1"/>
      <c r="F48" s="2">
        <v>25</v>
      </c>
      <c r="G48" s="11">
        <f t="shared" si="1"/>
        <v>0</v>
      </c>
    </row>
    <row r="49" spans="2:7" ht="14.4" customHeight="1" x14ac:dyDescent="0.25">
      <c r="B49" s="10">
        <f t="shared" si="0"/>
        <v>34</v>
      </c>
      <c r="C49" s="31" t="s">
        <v>43</v>
      </c>
      <c r="D49" s="32"/>
      <c r="E49" s="1"/>
      <c r="F49" s="2">
        <v>27</v>
      </c>
      <c r="G49" s="11">
        <f t="shared" si="1"/>
        <v>0</v>
      </c>
    </row>
    <row r="50" spans="2:7" ht="14.4" customHeight="1" x14ac:dyDescent="0.25">
      <c r="B50" s="10">
        <f t="shared" si="0"/>
        <v>35</v>
      </c>
      <c r="C50" s="31" t="s">
        <v>44</v>
      </c>
      <c r="D50" s="32"/>
      <c r="E50" s="1"/>
      <c r="F50" s="2">
        <v>70</v>
      </c>
      <c r="G50" s="11">
        <f t="shared" si="1"/>
        <v>0</v>
      </c>
    </row>
    <row r="51" spans="2:7" ht="14.4" customHeight="1" x14ac:dyDescent="0.25">
      <c r="B51" s="10">
        <f t="shared" si="0"/>
        <v>36</v>
      </c>
      <c r="C51" s="31" t="s">
        <v>45</v>
      </c>
      <c r="D51" s="32"/>
      <c r="E51" s="1"/>
      <c r="F51" s="2">
        <v>10</v>
      </c>
      <c r="G51" s="11">
        <f t="shared" si="1"/>
        <v>0</v>
      </c>
    </row>
    <row r="52" spans="2:7" ht="14.4" customHeight="1" x14ac:dyDescent="0.25">
      <c r="B52" s="10">
        <f t="shared" si="0"/>
        <v>37</v>
      </c>
      <c r="C52" s="31" t="s">
        <v>46</v>
      </c>
      <c r="D52" s="32"/>
      <c r="E52" s="1"/>
      <c r="F52" s="2">
        <v>14</v>
      </c>
      <c r="G52" s="11">
        <f t="shared" si="1"/>
        <v>0</v>
      </c>
    </row>
    <row r="53" spans="2:7" ht="14.4" customHeight="1" x14ac:dyDescent="0.25">
      <c r="B53" s="10">
        <f t="shared" si="0"/>
        <v>38</v>
      </c>
      <c r="C53" s="31" t="s">
        <v>47</v>
      </c>
      <c r="D53" s="32"/>
      <c r="E53" s="1"/>
      <c r="F53" s="2">
        <v>12</v>
      </c>
      <c r="G53" s="11">
        <f t="shared" si="1"/>
        <v>0</v>
      </c>
    </row>
    <row r="54" spans="2:7" ht="14.4" customHeight="1" x14ac:dyDescent="0.25">
      <c r="B54" s="10">
        <f t="shared" si="0"/>
        <v>39</v>
      </c>
      <c r="C54" s="31" t="s">
        <v>48</v>
      </c>
      <c r="D54" s="32"/>
      <c r="E54" s="1"/>
      <c r="F54" s="2">
        <v>28</v>
      </c>
      <c r="G54" s="11">
        <f t="shared" si="1"/>
        <v>0</v>
      </c>
    </row>
    <row r="55" spans="2:7" ht="14.4" customHeight="1" x14ac:dyDescent="0.25">
      <c r="B55" s="10">
        <f t="shared" si="0"/>
        <v>40</v>
      </c>
      <c r="C55" s="31" t="s">
        <v>49</v>
      </c>
      <c r="D55" s="32"/>
      <c r="E55" s="1"/>
      <c r="F55" s="2">
        <v>30</v>
      </c>
      <c r="G55" s="11">
        <f t="shared" si="1"/>
        <v>0</v>
      </c>
    </row>
    <row r="56" spans="2:7" ht="14.4" customHeight="1" x14ac:dyDescent="0.25">
      <c r="B56" s="10">
        <f t="shared" si="0"/>
        <v>41</v>
      </c>
      <c r="C56" s="31" t="s">
        <v>50</v>
      </c>
      <c r="D56" s="32"/>
      <c r="E56" s="1"/>
      <c r="F56" s="2">
        <v>70</v>
      </c>
      <c r="G56" s="11">
        <f t="shared" si="1"/>
        <v>0</v>
      </c>
    </row>
    <row r="57" spans="2:7" ht="14.4" customHeight="1" x14ac:dyDescent="0.25">
      <c r="B57" s="10">
        <f t="shared" si="0"/>
        <v>42</v>
      </c>
      <c r="C57" s="31" t="s">
        <v>51</v>
      </c>
      <c r="D57" s="32"/>
      <c r="E57" s="1"/>
      <c r="F57" s="2">
        <v>90</v>
      </c>
      <c r="G57" s="11">
        <f t="shared" si="1"/>
        <v>0</v>
      </c>
    </row>
    <row r="58" spans="2:7" ht="14.4" customHeight="1" x14ac:dyDescent="0.25">
      <c r="B58" s="10">
        <f t="shared" si="0"/>
        <v>43</v>
      </c>
      <c r="C58" s="31" t="s">
        <v>52</v>
      </c>
      <c r="D58" s="32"/>
      <c r="E58" s="1"/>
      <c r="F58" s="2">
        <v>1200</v>
      </c>
      <c r="G58" s="11">
        <f t="shared" si="1"/>
        <v>0</v>
      </c>
    </row>
    <row r="59" spans="2:7" ht="14.4" customHeight="1" x14ac:dyDescent="0.25">
      <c r="B59" s="10">
        <f t="shared" si="0"/>
        <v>44</v>
      </c>
      <c r="C59" s="31" t="s">
        <v>53</v>
      </c>
      <c r="D59" s="32"/>
      <c r="E59" s="1"/>
      <c r="F59" s="2">
        <v>89</v>
      </c>
      <c r="G59" s="11">
        <f t="shared" si="1"/>
        <v>0</v>
      </c>
    </row>
    <row r="60" spans="2:7" ht="14.4" customHeight="1" x14ac:dyDescent="0.25">
      <c r="B60" s="10">
        <f t="shared" si="0"/>
        <v>45</v>
      </c>
      <c r="C60" s="31" t="s">
        <v>54</v>
      </c>
      <c r="D60" s="32"/>
      <c r="E60" s="1"/>
      <c r="F60" s="2">
        <v>35</v>
      </c>
      <c r="G60" s="11">
        <f t="shared" si="1"/>
        <v>0</v>
      </c>
    </row>
    <row r="61" spans="2:7" ht="14.4" customHeight="1" x14ac:dyDescent="0.25">
      <c r="B61" s="10">
        <f t="shared" si="0"/>
        <v>46</v>
      </c>
      <c r="C61" s="31" t="s">
        <v>55</v>
      </c>
      <c r="D61" s="32"/>
      <c r="E61" s="1"/>
      <c r="F61" s="2">
        <v>48</v>
      </c>
      <c r="G61" s="11">
        <f t="shared" si="1"/>
        <v>0</v>
      </c>
    </row>
    <row r="62" spans="2:7" ht="14.4" customHeight="1" x14ac:dyDescent="0.25">
      <c r="B62" s="10">
        <f t="shared" si="0"/>
        <v>47</v>
      </c>
      <c r="C62" s="31" t="s">
        <v>56</v>
      </c>
      <c r="D62" s="32"/>
      <c r="E62" s="1"/>
      <c r="F62" s="2">
        <v>14</v>
      </c>
      <c r="G62" s="11">
        <f t="shared" si="1"/>
        <v>0</v>
      </c>
    </row>
    <row r="63" spans="2:7" ht="14.4" customHeight="1" x14ac:dyDescent="0.25">
      <c r="B63" s="10">
        <f t="shared" si="0"/>
        <v>48</v>
      </c>
      <c r="C63" s="31" t="s">
        <v>57</v>
      </c>
      <c r="D63" s="32"/>
      <c r="E63" s="1"/>
      <c r="F63" s="2">
        <v>18</v>
      </c>
      <c r="G63" s="11">
        <f t="shared" si="1"/>
        <v>0</v>
      </c>
    </row>
    <row r="64" spans="2:7" ht="14.4" customHeight="1" x14ac:dyDescent="0.25">
      <c r="B64" s="10">
        <f t="shared" si="0"/>
        <v>49</v>
      </c>
      <c r="C64" s="31" t="s">
        <v>58</v>
      </c>
      <c r="D64" s="32"/>
      <c r="E64" s="1"/>
      <c r="F64" s="2">
        <v>60</v>
      </c>
      <c r="G64" s="11">
        <f t="shared" si="1"/>
        <v>0</v>
      </c>
    </row>
    <row r="65" spans="2:9" ht="14.4" customHeight="1" x14ac:dyDescent="0.25">
      <c r="B65" s="10">
        <f t="shared" si="0"/>
        <v>50</v>
      </c>
      <c r="C65" s="31" t="s">
        <v>59</v>
      </c>
      <c r="D65" s="32"/>
      <c r="E65" s="1"/>
      <c r="F65" s="2">
        <v>19</v>
      </c>
      <c r="G65" s="11">
        <f t="shared" si="1"/>
        <v>0</v>
      </c>
    </row>
    <row r="66" spans="2:9" ht="14.4" customHeight="1" x14ac:dyDescent="0.25">
      <c r="B66" s="10">
        <f t="shared" si="0"/>
        <v>51</v>
      </c>
      <c r="C66" s="31" t="s">
        <v>60</v>
      </c>
      <c r="D66" s="32"/>
      <c r="E66" s="1"/>
      <c r="F66" s="2">
        <v>36</v>
      </c>
      <c r="G66" s="11">
        <f t="shared" si="1"/>
        <v>0</v>
      </c>
    </row>
    <row r="67" spans="2:9" ht="14.4" customHeight="1" x14ac:dyDescent="0.25">
      <c r="B67" s="10">
        <f t="shared" si="0"/>
        <v>52</v>
      </c>
      <c r="C67" s="31" t="s">
        <v>61</v>
      </c>
      <c r="D67" s="32"/>
      <c r="E67" s="1"/>
      <c r="F67" s="2">
        <v>54</v>
      </c>
      <c r="G67" s="11">
        <f t="shared" si="1"/>
        <v>0</v>
      </c>
    </row>
    <row r="68" spans="2:9" ht="14.4" customHeight="1" x14ac:dyDescent="0.25">
      <c r="B68" s="10">
        <f t="shared" si="0"/>
        <v>53</v>
      </c>
      <c r="C68" s="31" t="s">
        <v>62</v>
      </c>
      <c r="D68" s="32"/>
      <c r="E68" s="1"/>
      <c r="F68" s="2">
        <v>32</v>
      </c>
      <c r="G68" s="11">
        <f t="shared" si="1"/>
        <v>0</v>
      </c>
    </row>
    <row r="69" spans="2:9" ht="14.4" customHeight="1" x14ac:dyDescent="0.25">
      <c r="B69" s="10">
        <f t="shared" si="0"/>
        <v>54</v>
      </c>
      <c r="C69" s="31" t="s">
        <v>63</v>
      </c>
      <c r="D69" s="32"/>
      <c r="E69" s="1"/>
      <c r="F69" s="2">
        <v>40</v>
      </c>
      <c r="G69" s="11">
        <f>E69*F69</f>
        <v>0</v>
      </c>
      <c r="I69" s="29"/>
    </row>
    <row r="70" spans="2:9" ht="14.4" customHeight="1" x14ac:dyDescent="0.25">
      <c r="B70" s="10">
        <f t="shared" si="0"/>
        <v>55</v>
      </c>
      <c r="C70" s="31" t="s">
        <v>64</v>
      </c>
      <c r="D70" s="32"/>
      <c r="E70" s="1"/>
      <c r="F70" s="2">
        <v>15</v>
      </c>
      <c r="G70" s="11">
        <f t="shared" si="1"/>
        <v>0</v>
      </c>
    </row>
    <row r="71" spans="2:9" ht="14.4" customHeight="1" x14ac:dyDescent="0.25">
      <c r="B71" s="10">
        <f t="shared" si="0"/>
        <v>56</v>
      </c>
      <c r="C71" s="31" t="s">
        <v>65</v>
      </c>
      <c r="D71" s="32"/>
      <c r="E71" s="1"/>
      <c r="F71" s="2">
        <v>30</v>
      </c>
      <c r="G71" s="11">
        <f t="shared" si="1"/>
        <v>0</v>
      </c>
    </row>
    <row r="72" spans="2:9" ht="14.4" customHeight="1" x14ac:dyDescent="0.25">
      <c r="B72" s="10">
        <f t="shared" si="0"/>
        <v>57</v>
      </c>
      <c r="C72" s="31" t="s">
        <v>66</v>
      </c>
      <c r="D72" s="32"/>
      <c r="E72" s="1"/>
      <c r="F72" s="2">
        <v>1385</v>
      </c>
      <c r="G72" s="11">
        <f t="shared" si="1"/>
        <v>0</v>
      </c>
    </row>
    <row r="73" spans="2:9" ht="14.4" customHeight="1" x14ac:dyDescent="0.25">
      <c r="B73" s="10">
        <f t="shared" si="0"/>
        <v>58</v>
      </c>
      <c r="C73" s="31" t="s">
        <v>67</v>
      </c>
      <c r="D73" s="32"/>
      <c r="E73" s="1"/>
      <c r="F73" s="2">
        <v>25</v>
      </c>
      <c r="G73" s="11">
        <f t="shared" si="1"/>
        <v>0</v>
      </c>
    </row>
    <row r="74" spans="2:9" ht="14.4" customHeight="1" x14ac:dyDescent="0.25">
      <c r="B74" s="10">
        <f t="shared" si="0"/>
        <v>59</v>
      </c>
      <c r="C74" s="31" t="s">
        <v>68</v>
      </c>
      <c r="D74" s="32"/>
      <c r="E74" s="1"/>
      <c r="F74" s="2">
        <v>25</v>
      </c>
      <c r="G74" s="11">
        <f t="shared" si="1"/>
        <v>0</v>
      </c>
    </row>
    <row r="75" spans="2:9" ht="14.4" customHeight="1" x14ac:dyDescent="0.25">
      <c r="B75" s="10">
        <f t="shared" si="0"/>
        <v>60</v>
      </c>
      <c r="C75" s="31" t="s">
        <v>69</v>
      </c>
      <c r="D75" s="32"/>
      <c r="E75" s="1"/>
      <c r="F75" s="2">
        <v>12</v>
      </c>
      <c r="G75" s="11">
        <f t="shared" si="1"/>
        <v>0</v>
      </c>
    </row>
    <row r="76" spans="2:9" ht="14.4" customHeight="1" x14ac:dyDescent="0.25">
      <c r="B76" s="10">
        <f t="shared" si="0"/>
        <v>61</v>
      </c>
      <c r="C76" s="31" t="s">
        <v>70</v>
      </c>
      <c r="D76" s="32"/>
      <c r="E76" s="1"/>
      <c r="F76" s="2">
        <v>20</v>
      </c>
      <c r="G76" s="11">
        <f t="shared" si="1"/>
        <v>0</v>
      </c>
    </row>
    <row r="77" spans="2:9" ht="14.4" customHeight="1" x14ac:dyDescent="0.25">
      <c r="B77" s="10">
        <f t="shared" si="0"/>
        <v>62</v>
      </c>
      <c r="C77" s="31" t="s">
        <v>71</v>
      </c>
      <c r="D77" s="32"/>
      <c r="E77" s="1"/>
      <c r="F77" s="2">
        <v>80</v>
      </c>
      <c r="G77" s="11">
        <f t="shared" si="1"/>
        <v>0</v>
      </c>
    </row>
    <row r="78" spans="2:9" ht="14.4" customHeight="1" x14ac:dyDescent="0.25">
      <c r="B78" s="10">
        <f t="shared" si="0"/>
        <v>63</v>
      </c>
      <c r="C78" s="31" t="s">
        <v>72</v>
      </c>
      <c r="D78" s="32"/>
      <c r="E78" s="1"/>
      <c r="F78" s="2">
        <v>23</v>
      </c>
      <c r="G78" s="11">
        <f t="shared" si="1"/>
        <v>0</v>
      </c>
    </row>
    <row r="79" spans="2:9" ht="14.4" customHeight="1" x14ac:dyDescent="0.25">
      <c r="B79" s="10">
        <f t="shared" si="0"/>
        <v>64</v>
      </c>
      <c r="C79" s="31" t="s">
        <v>73</v>
      </c>
      <c r="D79" s="32"/>
      <c r="E79" s="1"/>
      <c r="F79" s="2">
        <v>28</v>
      </c>
      <c r="G79" s="11">
        <f t="shared" si="1"/>
        <v>0</v>
      </c>
    </row>
    <row r="80" spans="2:9" ht="14.4" customHeight="1" x14ac:dyDescent="0.25">
      <c r="B80" s="10">
        <f t="shared" si="0"/>
        <v>65</v>
      </c>
      <c r="C80" s="31" t="s">
        <v>74</v>
      </c>
      <c r="D80" s="32"/>
      <c r="E80" s="1"/>
      <c r="F80" s="2">
        <v>40</v>
      </c>
      <c r="G80" s="11">
        <f t="shared" si="1"/>
        <v>0</v>
      </c>
    </row>
    <row r="81" spans="2:7" ht="14.4" customHeight="1" x14ac:dyDescent="0.25">
      <c r="B81" s="10">
        <f t="shared" si="0"/>
        <v>66</v>
      </c>
      <c r="C81" s="31" t="s">
        <v>75</v>
      </c>
      <c r="D81" s="32"/>
      <c r="E81" s="1"/>
      <c r="F81" s="2">
        <v>35</v>
      </c>
      <c r="G81" s="11">
        <f t="shared" si="1"/>
        <v>0</v>
      </c>
    </row>
    <row r="82" spans="2:7" ht="14.4" customHeight="1" x14ac:dyDescent="0.25">
      <c r="B82" s="10">
        <f t="shared" si="0"/>
        <v>67</v>
      </c>
      <c r="C82" s="31" t="s">
        <v>76</v>
      </c>
      <c r="D82" s="32"/>
      <c r="E82" s="1"/>
      <c r="F82" s="2">
        <v>27</v>
      </c>
      <c r="G82" s="11">
        <f t="shared" si="1"/>
        <v>0</v>
      </c>
    </row>
    <row r="83" spans="2:7" ht="14.4" customHeight="1" x14ac:dyDescent="0.25">
      <c r="B83" s="10">
        <f t="shared" ref="B83:B128" si="2">B82+1</f>
        <v>68</v>
      </c>
      <c r="C83" s="31" t="s">
        <v>77</v>
      </c>
      <c r="D83" s="32"/>
      <c r="E83" s="1"/>
      <c r="F83" s="2">
        <v>75</v>
      </c>
      <c r="G83" s="11">
        <f t="shared" ref="G83:G129" si="3">E83*F83</f>
        <v>0</v>
      </c>
    </row>
    <row r="84" spans="2:7" ht="14.4" customHeight="1" x14ac:dyDescent="0.25">
      <c r="B84" s="10">
        <f t="shared" si="2"/>
        <v>69</v>
      </c>
      <c r="C84" s="31" t="s">
        <v>78</v>
      </c>
      <c r="D84" s="32"/>
      <c r="E84" s="1"/>
      <c r="F84" s="2">
        <v>75</v>
      </c>
      <c r="G84" s="11">
        <f t="shared" si="3"/>
        <v>0</v>
      </c>
    </row>
    <row r="85" spans="2:7" ht="14.4" customHeight="1" x14ac:dyDescent="0.25">
      <c r="B85" s="10">
        <f t="shared" si="2"/>
        <v>70</v>
      </c>
      <c r="C85" s="31" t="s">
        <v>79</v>
      </c>
      <c r="D85" s="32"/>
      <c r="E85" s="1"/>
      <c r="F85" s="2">
        <v>75</v>
      </c>
      <c r="G85" s="11">
        <f t="shared" si="3"/>
        <v>0</v>
      </c>
    </row>
    <row r="86" spans="2:7" ht="14.4" customHeight="1" x14ac:dyDescent="0.25">
      <c r="B86" s="10">
        <f t="shared" si="2"/>
        <v>71</v>
      </c>
      <c r="C86" s="31" t="s">
        <v>80</v>
      </c>
      <c r="D86" s="32"/>
      <c r="E86" s="1"/>
      <c r="F86" s="2">
        <v>45</v>
      </c>
      <c r="G86" s="11">
        <f t="shared" si="3"/>
        <v>0</v>
      </c>
    </row>
    <row r="87" spans="2:7" ht="14.4" customHeight="1" x14ac:dyDescent="0.25">
      <c r="B87" s="10">
        <f t="shared" si="2"/>
        <v>72</v>
      </c>
      <c r="C87" s="31" t="s">
        <v>81</v>
      </c>
      <c r="D87" s="32"/>
      <c r="E87" s="1"/>
      <c r="F87" s="2">
        <v>90</v>
      </c>
      <c r="G87" s="11">
        <f t="shared" si="3"/>
        <v>0</v>
      </c>
    </row>
    <row r="88" spans="2:7" ht="14.4" customHeight="1" x14ac:dyDescent="0.25">
      <c r="B88" s="10">
        <f t="shared" si="2"/>
        <v>73</v>
      </c>
      <c r="C88" s="31" t="s">
        <v>82</v>
      </c>
      <c r="D88" s="32"/>
      <c r="E88" s="1"/>
      <c r="F88" s="2">
        <v>15</v>
      </c>
      <c r="G88" s="11">
        <f t="shared" si="3"/>
        <v>0</v>
      </c>
    </row>
    <row r="89" spans="2:7" ht="14.4" customHeight="1" x14ac:dyDescent="0.25">
      <c r="B89" s="10">
        <f t="shared" si="2"/>
        <v>74</v>
      </c>
      <c r="C89" s="31" t="s">
        <v>83</v>
      </c>
      <c r="D89" s="32"/>
      <c r="E89" s="1"/>
      <c r="F89" s="2">
        <v>12</v>
      </c>
      <c r="G89" s="11">
        <f>E89*F89</f>
        <v>0</v>
      </c>
    </row>
    <row r="90" spans="2:7" ht="14.4" customHeight="1" x14ac:dyDescent="0.25">
      <c r="B90" s="10">
        <f t="shared" si="2"/>
        <v>75</v>
      </c>
      <c r="C90" s="31" t="s">
        <v>84</v>
      </c>
      <c r="D90" s="32"/>
      <c r="E90" s="1"/>
      <c r="F90" s="2">
        <v>25</v>
      </c>
      <c r="G90" s="11">
        <f>E90*F90</f>
        <v>0</v>
      </c>
    </row>
    <row r="91" spans="2:7" ht="14.4" customHeight="1" x14ac:dyDescent="0.25">
      <c r="B91" s="10">
        <f t="shared" si="2"/>
        <v>76</v>
      </c>
      <c r="C91" s="31" t="s">
        <v>85</v>
      </c>
      <c r="D91" s="32"/>
      <c r="E91" s="1"/>
      <c r="F91" s="2">
        <v>45</v>
      </c>
      <c r="G91" s="11">
        <f t="shared" si="3"/>
        <v>0</v>
      </c>
    </row>
    <row r="92" spans="2:7" ht="14.4" customHeight="1" x14ac:dyDescent="0.25">
      <c r="B92" s="10">
        <f t="shared" si="2"/>
        <v>77</v>
      </c>
      <c r="C92" s="31" t="s">
        <v>86</v>
      </c>
      <c r="D92" s="32"/>
      <c r="E92" s="1"/>
      <c r="F92" s="2">
        <v>25</v>
      </c>
      <c r="G92" s="11">
        <f t="shared" si="3"/>
        <v>0</v>
      </c>
    </row>
    <row r="93" spans="2:7" ht="14.4" customHeight="1" x14ac:dyDescent="0.25">
      <c r="B93" s="10">
        <f t="shared" si="2"/>
        <v>78</v>
      </c>
      <c r="C93" s="31" t="s">
        <v>87</v>
      </c>
      <c r="D93" s="32"/>
      <c r="E93" s="1"/>
      <c r="F93" s="2">
        <v>15</v>
      </c>
      <c r="G93" s="11">
        <f t="shared" si="3"/>
        <v>0</v>
      </c>
    </row>
    <row r="94" spans="2:7" ht="14.4" customHeight="1" x14ac:dyDescent="0.25">
      <c r="B94" s="10">
        <f t="shared" si="2"/>
        <v>79</v>
      </c>
      <c r="C94" s="31" t="s">
        <v>88</v>
      </c>
      <c r="D94" s="32"/>
      <c r="E94" s="1"/>
      <c r="F94" s="2">
        <v>18</v>
      </c>
      <c r="G94" s="11">
        <f t="shared" si="3"/>
        <v>0</v>
      </c>
    </row>
    <row r="95" spans="2:7" ht="14.4" customHeight="1" x14ac:dyDescent="0.25">
      <c r="B95" s="10">
        <f t="shared" si="2"/>
        <v>80</v>
      </c>
      <c r="C95" s="31" t="s">
        <v>89</v>
      </c>
      <c r="D95" s="32"/>
      <c r="E95" s="1"/>
      <c r="F95" s="2">
        <v>18</v>
      </c>
      <c r="G95" s="11">
        <f t="shared" si="3"/>
        <v>0</v>
      </c>
    </row>
    <row r="96" spans="2:7" ht="14.4" customHeight="1" x14ac:dyDescent="0.25">
      <c r="B96" s="10">
        <f t="shared" si="2"/>
        <v>81</v>
      </c>
      <c r="C96" s="31" t="s">
        <v>90</v>
      </c>
      <c r="D96" s="32"/>
      <c r="E96" s="1"/>
      <c r="F96" s="2">
        <v>280</v>
      </c>
      <c r="G96" s="11">
        <f t="shared" si="3"/>
        <v>0</v>
      </c>
    </row>
    <row r="97" spans="2:7" ht="14.4" customHeight="1" x14ac:dyDescent="0.25">
      <c r="B97" s="10">
        <f t="shared" si="2"/>
        <v>82</v>
      </c>
      <c r="C97" s="31" t="s">
        <v>91</v>
      </c>
      <c r="D97" s="32"/>
      <c r="E97" s="1"/>
      <c r="F97" s="2">
        <v>35</v>
      </c>
      <c r="G97" s="11">
        <f t="shared" si="3"/>
        <v>0</v>
      </c>
    </row>
    <row r="98" spans="2:7" ht="14.4" customHeight="1" x14ac:dyDescent="0.25">
      <c r="B98" s="10">
        <f t="shared" si="2"/>
        <v>83</v>
      </c>
      <c r="C98" s="31" t="s">
        <v>92</v>
      </c>
      <c r="D98" s="32"/>
      <c r="E98" s="1"/>
      <c r="F98" s="2">
        <v>46</v>
      </c>
      <c r="G98" s="11">
        <f t="shared" si="3"/>
        <v>0</v>
      </c>
    </row>
    <row r="99" spans="2:7" ht="14.4" customHeight="1" x14ac:dyDescent="0.25">
      <c r="B99" s="10">
        <f t="shared" si="2"/>
        <v>84</v>
      </c>
      <c r="C99" s="31" t="s">
        <v>93</v>
      </c>
      <c r="D99" s="32"/>
      <c r="E99" s="1"/>
      <c r="F99" s="2">
        <v>49</v>
      </c>
      <c r="G99" s="11">
        <f t="shared" si="3"/>
        <v>0</v>
      </c>
    </row>
    <row r="100" spans="2:7" ht="14.4" customHeight="1" x14ac:dyDescent="0.25">
      <c r="B100" s="10">
        <f t="shared" si="2"/>
        <v>85</v>
      </c>
      <c r="C100" s="31" t="s">
        <v>94</v>
      </c>
      <c r="D100" s="32"/>
      <c r="E100" s="1"/>
      <c r="F100" s="2">
        <v>71</v>
      </c>
      <c r="G100" s="11">
        <f t="shared" si="3"/>
        <v>0</v>
      </c>
    </row>
    <row r="101" spans="2:7" ht="14.4" customHeight="1" x14ac:dyDescent="0.25">
      <c r="B101" s="10">
        <f t="shared" si="2"/>
        <v>86</v>
      </c>
      <c r="C101" s="31" t="s">
        <v>95</v>
      </c>
      <c r="D101" s="32"/>
      <c r="E101" s="1"/>
      <c r="F101" s="2">
        <v>12</v>
      </c>
      <c r="G101" s="11">
        <f t="shared" si="3"/>
        <v>0</v>
      </c>
    </row>
    <row r="102" spans="2:7" ht="14.4" customHeight="1" x14ac:dyDescent="0.25">
      <c r="B102" s="10">
        <f t="shared" si="2"/>
        <v>87</v>
      </c>
      <c r="C102" s="31" t="s">
        <v>96</v>
      </c>
      <c r="D102" s="32"/>
      <c r="E102" s="1"/>
      <c r="F102" s="2">
        <v>55</v>
      </c>
      <c r="G102" s="11">
        <f t="shared" si="3"/>
        <v>0</v>
      </c>
    </row>
    <row r="103" spans="2:7" ht="14.4" customHeight="1" x14ac:dyDescent="0.25">
      <c r="B103" s="10">
        <f t="shared" si="2"/>
        <v>88</v>
      </c>
      <c r="C103" s="31" t="s">
        <v>97</v>
      </c>
      <c r="D103" s="32"/>
      <c r="E103" s="1"/>
      <c r="F103" s="2">
        <v>18</v>
      </c>
      <c r="G103" s="11">
        <f t="shared" si="3"/>
        <v>0</v>
      </c>
    </row>
    <row r="104" spans="2:7" ht="14.4" customHeight="1" x14ac:dyDescent="0.25">
      <c r="B104" s="10">
        <f t="shared" si="2"/>
        <v>89</v>
      </c>
      <c r="C104" s="31" t="s">
        <v>98</v>
      </c>
      <c r="D104" s="32"/>
      <c r="E104" s="1"/>
      <c r="F104" s="2">
        <v>70</v>
      </c>
      <c r="G104" s="11">
        <f t="shared" si="3"/>
        <v>0</v>
      </c>
    </row>
    <row r="105" spans="2:7" ht="14.4" customHeight="1" x14ac:dyDescent="0.25">
      <c r="B105" s="10">
        <f t="shared" si="2"/>
        <v>90</v>
      </c>
      <c r="C105" s="31" t="s">
        <v>99</v>
      </c>
      <c r="D105" s="32"/>
      <c r="E105" s="1"/>
      <c r="F105" s="2">
        <v>12</v>
      </c>
      <c r="G105" s="11">
        <f t="shared" si="3"/>
        <v>0</v>
      </c>
    </row>
    <row r="106" spans="2:7" ht="14.4" customHeight="1" x14ac:dyDescent="0.25">
      <c r="B106" s="10">
        <f t="shared" si="2"/>
        <v>91</v>
      </c>
      <c r="C106" s="31" t="s">
        <v>100</v>
      </c>
      <c r="D106" s="32"/>
      <c r="E106" s="1"/>
      <c r="F106" s="2">
        <v>18</v>
      </c>
      <c r="G106" s="11">
        <f t="shared" si="3"/>
        <v>0</v>
      </c>
    </row>
    <row r="107" spans="2:7" ht="14.4" customHeight="1" x14ac:dyDescent="0.25">
      <c r="B107" s="10">
        <f t="shared" si="2"/>
        <v>92</v>
      </c>
      <c r="C107" s="31" t="s">
        <v>101</v>
      </c>
      <c r="D107" s="32"/>
      <c r="E107" s="1"/>
      <c r="F107" s="2">
        <v>15</v>
      </c>
      <c r="G107" s="11">
        <f t="shared" si="3"/>
        <v>0</v>
      </c>
    </row>
    <row r="108" spans="2:7" ht="14.4" customHeight="1" x14ac:dyDescent="0.25">
      <c r="B108" s="10">
        <f t="shared" si="2"/>
        <v>93</v>
      </c>
      <c r="C108" s="31" t="s">
        <v>102</v>
      </c>
      <c r="D108" s="32"/>
      <c r="E108" s="1"/>
      <c r="F108" s="2">
        <v>28</v>
      </c>
      <c r="G108" s="11">
        <f t="shared" si="3"/>
        <v>0</v>
      </c>
    </row>
    <row r="109" spans="2:7" ht="14.4" customHeight="1" x14ac:dyDescent="0.25">
      <c r="B109" s="10">
        <f t="shared" si="2"/>
        <v>94</v>
      </c>
      <c r="C109" s="31" t="s">
        <v>103</v>
      </c>
      <c r="D109" s="32"/>
      <c r="E109" s="1"/>
      <c r="F109" s="2">
        <v>28</v>
      </c>
      <c r="G109" s="11">
        <f t="shared" si="3"/>
        <v>0</v>
      </c>
    </row>
    <row r="110" spans="2:7" ht="14.4" customHeight="1" x14ac:dyDescent="0.25">
      <c r="B110" s="10">
        <f t="shared" si="2"/>
        <v>95</v>
      </c>
      <c r="C110" s="31" t="s">
        <v>105</v>
      </c>
      <c r="D110" s="32"/>
      <c r="E110" s="1"/>
      <c r="F110" s="2">
        <v>38</v>
      </c>
      <c r="G110" s="11">
        <f t="shared" si="3"/>
        <v>0</v>
      </c>
    </row>
    <row r="111" spans="2:7" ht="14.4" customHeight="1" x14ac:dyDescent="0.25">
      <c r="B111" s="10">
        <f t="shared" si="2"/>
        <v>96</v>
      </c>
      <c r="C111" s="31" t="s">
        <v>104</v>
      </c>
      <c r="D111" s="32"/>
      <c r="E111" s="1"/>
      <c r="F111" s="2">
        <v>48</v>
      </c>
      <c r="G111" s="11">
        <f t="shared" si="3"/>
        <v>0</v>
      </c>
    </row>
    <row r="112" spans="2:7" ht="14.4" customHeight="1" x14ac:dyDescent="0.25">
      <c r="B112" s="10">
        <f t="shared" si="2"/>
        <v>97</v>
      </c>
      <c r="C112" s="31" t="s">
        <v>106</v>
      </c>
      <c r="D112" s="32"/>
      <c r="E112" s="1"/>
      <c r="F112" s="2">
        <v>9</v>
      </c>
      <c r="G112" s="11">
        <f t="shared" si="3"/>
        <v>0</v>
      </c>
    </row>
    <row r="113" spans="2:7" ht="14.4" customHeight="1" x14ac:dyDescent="0.25">
      <c r="B113" s="10">
        <f t="shared" si="2"/>
        <v>98</v>
      </c>
      <c r="C113" s="31" t="s">
        <v>107</v>
      </c>
      <c r="D113" s="32"/>
      <c r="E113" s="1"/>
      <c r="F113" s="2">
        <v>65</v>
      </c>
      <c r="G113" s="11">
        <f t="shared" si="3"/>
        <v>0</v>
      </c>
    </row>
    <row r="114" spans="2:7" ht="14.4" customHeight="1" x14ac:dyDescent="0.25">
      <c r="B114" s="10">
        <f t="shared" si="2"/>
        <v>99</v>
      </c>
      <c r="C114" s="31" t="s">
        <v>108</v>
      </c>
      <c r="D114" s="32"/>
      <c r="E114" s="1"/>
      <c r="F114" s="2">
        <v>633</v>
      </c>
      <c r="G114" s="11">
        <f t="shared" si="3"/>
        <v>0</v>
      </c>
    </row>
    <row r="115" spans="2:7" ht="14.4" customHeight="1" x14ac:dyDescent="0.25">
      <c r="B115" s="10">
        <f t="shared" si="2"/>
        <v>100</v>
      </c>
      <c r="C115" s="31" t="s">
        <v>109</v>
      </c>
      <c r="D115" s="32"/>
      <c r="E115" s="1"/>
      <c r="F115" s="2">
        <v>45</v>
      </c>
      <c r="G115" s="11">
        <f t="shared" si="3"/>
        <v>0</v>
      </c>
    </row>
    <row r="116" spans="2:7" ht="14.4" customHeight="1" x14ac:dyDescent="0.25">
      <c r="B116" s="10">
        <f t="shared" si="2"/>
        <v>101</v>
      </c>
      <c r="C116" s="31" t="s">
        <v>110</v>
      </c>
      <c r="D116" s="32"/>
      <c r="E116" s="1"/>
      <c r="F116" s="2">
        <v>18</v>
      </c>
      <c r="G116" s="11">
        <f t="shared" si="3"/>
        <v>0</v>
      </c>
    </row>
    <row r="117" spans="2:7" ht="14.4" customHeight="1" x14ac:dyDescent="0.25">
      <c r="B117" s="10">
        <f t="shared" si="2"/>
        <v>102</v>
      </c>
      <c r="C117" s="31" t="s">
        <v>111</v>
      </c>
      <c r="D117" s="32"/>
      <c r="E117" s="1"/>
      <c r="F117" s="2">
        <v>25</v>
      </c>
      <c r="G117" s="11">
        <f t="shared" si="3"/>
        <v>0</v>
      </c>
    </row>
    <row r="118" spans="2:7" ht="14.4" customHeight="1" x14ac:dyDescent="0.25">
      <c r="B118" s="10">
        <f t="shared" si="2"/>
        <v>103</v>
      </c>
      <c r="C118" s="31" t="s">
        <v>112</v>
      </c>
      <c r="D118" s="32"/>
      <c r="E118" s="1"/>
      <c r="F118" s="2">
        <v>30</v>
      </c>
      <c r="G118" s="11">
        <f t="shared" si="3"/>
        <v>0</v>
      </c>
    </row>
    <row r="119" spans="2:7" ht="14.4" customHeight="1" x14ac:dyDescent="0.25">
      <c r="B119" s="10">
        <f t="shared" si="2"/>
        <v>104</v>
      </c>
      <c r="C119" s="31" t="s">
        <v>113</v>
      </c>
      <c r="D119" s="32"/>
      <c r="E119" s="1"/>
      <c r="F119" s="2">
        <v>60</v>
      </c>
      <c r="G119" s="11">
        <f t="shared" si="3"/>
        <v>0</v>
      </c>
    </row>
    <row r="120" spans="2:7" ht="14.4" customHeight="1" x14ac:dyDescent="0.25">
      <c r="B120" s="10">
        <f t="shared" si="2"/>
        <v>105</v>
      </c>
      <c r="C120" s="31" t="s">
        <v>114</v>
      </c>
      <c r="D120" s="32"/>
      <c r="E120" s="1"/>
      <c r="F120" s="2">
        <v>68</v>
      </c>
      <c r="G120" s="11">
        <f t="shared" si="3"/>
        <v>0</v>
      </c>
    </row>
    <row r="121" spans="2:7" ht="14.4" customHeight="1" x14ac:dyDescent="0.25">
      <c r="B121" s="10">
        <f t="shared" si="2"/>
        <v>106</v>
      </c>
      <c r="C121" s="31" t="s">
        <v>115</v>
      </c>
      <c r="D121" s="32"/>
      <c r="E121" s="1"/>
      <c r="F121" s="2">
        <v>19</v>
      </c>
      <c r="G121" s="11">
        <f t="shared" si="3"/>
        <v>0</v>
      </c>
    </row>
    <row r="122" spans="2:7" ht="14.4" customHeight="1" x14ac:dyDescent="0.25">
      <c r="B122" s="10">
        <f t="shared" si="2"/>
        <v>107</v>
      </c>
      <c r="C122" s="31" t="s">
        <v>116</v>
      </c>
      <c r="D122" s="32"/>
      <c r="E122" s="1"/>
      <c r="F122" s="2">
        <v>8</v>
      </c>
      <c r="G122" s="11">
        <f t="shared" si="3"/>
        <v>0</v>
      </c>
    </row>
    <row r="123" spans="2:7" ht="14.4" customHeight="1" x14ac:dyDescent="0.25">
      <c r="B123" s="10">
        <f t="shared" si="2"/>
        <v>108</v>
      </c>
      <c r="C123" s="31" t="s">
        <v>117</v>
      </c>
      <c r="D123" s="32"/>
      <c r="E123" s="1"/>
      <c r="F123" s="2">
        <v>40</v>
      </c>
      <c r="G123" s="11">
        <f t="shared" si="3"/>
        <v>0</v>
      </c>
    </row>
    <row r="124" spans="2:7" ht="14.4" customHeight="1" x14ac:dyDescent="0.25">
      <c r="B124" s="10">
        <f t="shared" si="2"/>
        <v>109</v>
      </c>
      <c r="C124" s="31" t="s">
        <v>118</v>
      </c>
      <c r="D124" s="32"/>
      <c r="E124" s="1"/>
      <c r="F124" s="2">
        <v>39</v>
      </c>
      <c r="G124" s="11">
        <f t="shared" si="3"/>
        <v>0</v>
      </c>
    </row>
    <row r="125" spans="2:7" ht="14.4" customHeight="1" x14ac:dyDescent="0.25">
      <c r="B125" s="10">
        <f t="shared" si="2"/>
        <v>110</v>
      </c>
      <c r="C125" s="31" t="s">
        <v>119</v>
      </c>
      <c r="D125" s="32"/>
      <c r="E125" s="1"/>
      <c r="F125" s="2">
        <v>12</v>
      </c>
      <c r="G125" s="11">
        <f t="shared" si="3"/>
        <v>0</v>
      </c>
    </row>
    <row r="126" spans="2:7" ht="14.4" customHeight="1" x14ac:dyDescent="0.25">
      <c r="B126" s="10">
        <f t="shared" si="2"/>
        <v>111</v>
      </c>
      <c r="C126" s="31" t="s">
        <v>120</v>
      </c>
      <c r="D126" s="32"/>
      <c r="E126" s="1"/>
      <c r="F126" s="2">
        <v>28</v>
      </c>
      <c r="G126" s="11">
        <f t="shared" si="3"/>
        <v>0</v>
      </c>
    </row>
    <row r="127" spans="2:7" ht="14.4" customHeight="1" x14ac:dyDescent="0.25">
      <c r="B127" s="10">
        <f t="shared" si="2"/>
        <v>112</v>
      </c>
      <c r="C127" s="31" t="s">
        <v>121</v>
      </c>
      <c r="D127" s="32"/>
      <c r="E127" s="1"/>
      <c r="F127" s="2">
        <v>39</v>
      </c>
      <c r="G127" s="11">
        <f t="shared" si="3"/>
        <v>0</v>
      </c>
    </row>
    <row r="128" spans="2:7" ht="14.4" customHeight="1" x14ac:dyDescent="0.25">
      <c r="B128" s="10">
        <f t="shared" si="2"/>
        <v>113</v>
      </c>
      <c r="C128" s="31" t="s">
        <v>122</v>
      </c>
      <c r="D128" s="32"/>
      <c r="E128" s="1"/>
      <c r="F128" s="2">
        <v>80</v>
      </c>
      <c r="G128" s="11">
        <f t="shared" si="3"/>
        <v>0</v>
      </c>
    </row>
    <row r="129" spans="2:7" ht="14.4" customHeight="1" x14ac:dyDescent="0.25">
      <c r="B129" s="10">
        <f>B128+1</f>
        <v>114</v>
      </c>
      <c r="C129" s="31" t="s">
        <v>123</v>
      </c>
      <c r="D129" s="32"/>
      <c r="E129" s="1"/>
      <c r="F129" s="2">
        <v>23</v>
      </c>
      <c r="G129" s="11">
        <f t="shared" si="3"/>
        <v>0</v>
      </c>
    </row>
    <row r="130" spans="2:7" ht="14.4" customHeight="1" x14ac:dyDescent="0.25">
      <c r="B130" s="10">
        <v>116</v>
      </c>
      <c r="C130" s="52" t="s">
        <v>124</v>
      </c>
      <c r="D130" s="52"/>
      <c r="E130" s="1"/>
      <c r="F130" s="2">
        <v>28</v>
      </c>
      <c r="G130" s="11">
        <f t="shared" ref="G130:G153" si="4">E130*F130</f>
        <v>0</v>
      </c>
    </row>
    <row r="131" spans="2:7" ht="14.4" customHeight="1" x14ac:dyDescent="0.25">
      <c r="B131" s="10">
        <v>117</v>
      </c>
      <c r="C131" s="38" t="s">
        <v>135</v>
      </c>
      <c r="D131" s="39"/>
      <c r="E131" s="1"/>
      <c r="F131" s="2">
        <v>150</v>
      </c>
      <c r="G131" s="11">
        <f t="shared" si="4"/>
        <v>0</v>
      </c>
    </row>
    <row r="132" spans="2:7" ht="14.4" customHeight="1" x14ac:dyDescent="0.25">
      <c r="B132" s="10">
        <v>118</v>
      </c>
      <c r="C132" s="38" t="s">
        <v>136</v>
      </c>
      <c r="D132" s="39"/>
      <c r="E132" s="1"/>
      <c r="F132" s="2">
        <v>99</v>
      </c>
      <c r="G132" s="11">
        <f t="shared" si="4"/>
        <v>0</v>
      </c>
    </row>
    <row r="133" spans="2:7" ht="14.4" customHeight="1" x14ac:dyDescent="0.25">
      <c r="B133" s="10">
        <v>119</v>
      </c>
      <c r="C133" s="38" t="s">
        <v>137</v>
      </c>
      <c r="D133" s="39"/>
      <c r="E133" s="1"/>
      <c r="F133" s="2">
        <v>398</v>
      </c>
      <c r="G133" s="11">
        <f t="shared" si="4"/>
        <v>0</v>
      </c>
    </row>
    <row r="134" spans="2:7" ht="14.4" customHeight="1" x14ac:dyDescent="0.25">
      <c r="B134" s="10">
        <v>120</v>
      </c>
      <c r="C134" s="38" t="s">
        <v>138</v>
      </c>
      <c r="D134" s="39"/>
      <c r="E134" s="1"/>
      <c r="F134" s="2">
        <v>155</v>
      </c>
      <c r="G134" s="11">
        <f t="shared" si="4"/>
        <v>0</v>
      </c>
    </row>
    <row r="135" spans="2:7" ht="14.4" customHeight="1" x14ac:dyDescent="0.25">
      <c r="B135" s="10">
        <v>121</v>
      </c>
      <c r="C135" s="38" t="s">
        <v>139</v>
      </c>
      <c r="D135" s="39"/>
      <c r="E135" s="1"/>
      <c r="F135" s="2">
        <v>160</v>
      </c>
      <c r="G135" s="11">
        <f t="shared" si="4"/>
        <v>0</v>
      </c>
    </row>
    <row r="136" spans="2:7" ht="14.4" customHeight="1" x14ac:dyDescent="0.25">
      <c r="B136" s="10">
        <v>122</v>
      </c>
      <c r="C136" s="38" t="s">
        <v>140</v>
      </c>
      <c r="D136" s="39"/>
      <c r="E136" s="1"/>
      <c r="F136" s="2">
        <v>124</v>
      </c>
      <c r="G136" s="11">
        <f t="shared" si="4"/>
        <v>0</v>
      </c>
    </row>
    <row r="137" spans="2:7" ht="14.4" customHeight="1" x14ac:dyDescent="0.25">
      <c r="B137" s="10">
        <v>123</v>
      </c>
      <c r="C137" s="38" t="s">
        <v>141</v>
      </c>
      <c r="D137" s="39"/>
      <c r="E137" s="1"/>
      <c r="F137" s="2">
        <v>182</v>
      </c>
      <c r="G137" s="11">
        <f t="shared" si="4"/>
        <v>0</v>
      </c>
    </row>
    <row r="138" spans="2:7" ht="14.4" customHeight="1" x14ac:dyDescent="0.25">
      <c r="B138" s="10">
        <v>124</v>
      </c>
      <c r="C138" s="38" t="s">
        <v>142</v>
      </c>
      <c r="D138" s="39"/>
      <c r="E138" s="1"/>
      <c r="F138" s="2">
        <v>397</v>
      </c>
      <c r="G138" s="11">
        <f t="shared" si="4"/>
        <v>0</v>
      </c>
    </row>
    <row r="139" spans="2:7" ht="14.4" customHeight="1" x14ac:dyDescent="0.25">
      <c r="B139" s="10">
        <v>125</v>
      </c>
      <c r="C139" s="38" t="s">
        <v>143</v>
      </c>
      <c r="D139" s="39"/>
      <c r="E139" s="1"/>
      <c r="F139" s="2">
        <v>160</v>
      </c>
      <c r="G139" s="11">
        <f t="shared" si="4"/>
        <v>0</v>
      </c>
    </row>
    <row r="140" spans="2:7" ht="14.4" customHeight="1" x14ac:dyDescent="0.25">
      <c r="B140" s="10">
        <v>126</v>
      </c>
      <c r="C140" s="38" t="s">
        <v>144</v>
      </c>
      <c r="D140" s="39"/>
      <c r="E140" s="1"/>
      <c r="F140" s="2">
        <v>215</v>
      </c>
      <c r="G140" s="11">
        <f t="shared" si="4"/>
        <v>0</v>
      </c>
    </row>
    <row r="141" spans="2:7" ht="14.4" customHeight="1" x14ac:dyDescent="0.25">
      <c r="B141" s="10">
        <v>127</v>
      </c>
      <c r="C141" s="38" t="s">
        <v>145</v>
      </c>
      <c r="D141" s="39"/>
      <c r="E141" s="1"/>
      <c r="F141" s="2">
        <v>540</v>
      </c>
      <c r="G141" s="11">
        <f t="shared" si="4"/>
        <v>0</v>
      </c>
    </row>
    <row r="142" spans="2:7" ht="14.4" customHeight="1" x14ac:dyDescent="0.25">
      <c r="B142" s="10">
        <v>128</v>
      </c>
      <c r="C142" s="38" t="s">
        <v>146</v>
      </c>
      <c r="D142" s="39"/>
      <c r="E142" s="1"/>
      <c r="F142" s="2">
        <v>298</v>
      </c>
      <c r="G142" s="11">
        <f t="shared" si="4"/>
        <v>0</v>
      </c>
    </row>
    <row r="143" spans="2:7" ht="14.4" customHeight="1" x14ac:dyDescent="0.25">
      <c r="B143" s="10">
        <v>129</v>
      </c>
      <c r="C143" s="38" t="s">
        <v>147</v>
      </c>
      <c r="D143" s="39"/>
      <c r="E143" s="1"/>
      <c r="F143" s="2">
        <v>470</v>
      </c>
      <c r="G143" s="11">
        <f t="shared" si="4"/>
        <v>0</v>
      </c>
    </row>
    <row r="144" spans="2:7" ht="14.4" customHeight="1" x14ac:dyDescent="0.25">
      <c r="B144" s="10">
        <v>130</v>
      </c>
      <c r="C144" s="38" t="s">
        <v>148</v>
      </c>
      <c r="D144" s="39"/>
      <c r="E144" s="1"/>
      <c r="F144" s="2">
        <v>470</v>
      </c>
      <c r="G144" s="11">
        <f t="shared" si="4"/>
        <v>0</v>
      </c>
    </row>
    <row r="145" spans="2:7" ht="14.4" customHeight="1" x14ac:dyDescent="0.25">
      <c r="B145" s="10">
        <v>131</v>
      </c>
      <c r="C145" s="38" t="s">
        <v>149</v>
      </c>
      <c r="D145" s="39"/>
      <c r="E145" s="1"/>
      <c r="F145" s="2">
        <v>278</v>
      </c>
      <c r="G145" s="11">
        <f t="shared" si="4"/>
        <v>0</v>
      </c>
    </row>
    <row r="146" spans="2:7" ht="14.4" customHeight="1" x14ac:dyDescent="0.25">
      <c r="B146" s="10">
        <v>132</v>
      </c>
      <c r="C146" s="38" t="s">
        <v>150</v>
      </c>
      <c r="D146" s="39"/>
      <c r="E146" s="1"/>
      <c r="F146" s="2">
        <v>103</v>
      </c>
      <c r="G146" s="11">
        <f t="shared" si="4"/>
        <v>0</v>
      </c>
    </row>
    <row r="147" spans="2:7" ht="14.4" customHeight="1" x14ac:dyDescent="0.25">
      <c r="B147" s="10">
        <v>133</v>
      </c>
      <c r="C147" s="38" t="s">
        <v>151</v>
      </c>
      <c r="D147" s="39"/>
      <c r="E147" s="1"/>
      <c r="F147" s="2">
        <v>155</v>
      </c>
      <c r="G147" s="11">
        <f t="shared" si="4"/>
        <v>0</v>
      </c>
    </row>
    <row r="148" spans="2:7" ht="14.4" customHeight="1" x14ac:dyDescent="0.25">
      <c r="B148" s="10">
        <v>134</v>
      </c>
      <c r="C148" s="38" t="s">
        <v>152</v>
      </c>
      <c r="D148" s="39"/>
      <c r="E148" s="1"/>
      <c r="F148" s="2">
        <v>110</v>
      </c>
      <c r="G148" s="11">
        <f t="shared" si="4"/>
        <v>0</v>
      </c>
    </row>
    <row r="149" spans="2:7" ht="14.4" customHeight="1" x14ac:dyDescent="0.25">
      <c r="B149" s="10">
        <v>135</v>
      </c>
      <c r="C149" s="38" t="s">
        <v>153</v>
      </c>
      <c r="D149" s="39"/>
      <c r="E149" s="1"/>
      <c r="F149" s="2">
        <v>161</v>
      </c>
      <c r="G149" s="11">
        <f t="shared" si="4"/>
        <v>0</v>
      </c>
    </row>
    <row r="150" spans="2:7" ht="14.4" customHeight="1" x14ac:dyDescent="0.25">
      <c r="B150" s="10">
        <v>136</v>
      </c>
      <c r="C150" s="38" t="s">
        <v>154</v>
      </c>
      <c r="D150" s="39"/>
      <c r="E150" s="1"/>
      <c r="F150" s="2">
        <v>148</v>
      </c>
      <c r="G150" s="11">
        <f t="shared" si="4"/>
        <v>0</v>
      </c>
    </row>
    <row r="151" spans="2:7" ht="14.4" customHeight="1" x14ac:dyDescent="0.25">
      <c r="B151" s="10">
        <v>137</v>
      </c>
      <c r="C151" s="38" t="s">
        <v>155</v>
      </c>
      <c r="D151" s="39"/>
      <c r="E151" s="1"/>
      <c r="F151" s="2">
        <v>161</v>
      </c>
      <c r="G151" s="11">
        <f t="shared" si="4"/>
        <v>0</v>
      </c>
    </row>
    <row r="152" spans="2:7" ht="14.4" customHeight="1" x14ac:dyDescent="0.25">
      <c r="B152" s="10">
        <v>138</v>
      </c>
      <c r="C152" s="38" t="s">
        <v>156</v>
      </c>
      <c r="D152" s="39"/>
      <c r="E152" s="1"/>
      <c r="F152" s="2">
        <v>125</v>
      </c>
      <c r="G152" s="11">
        <f t="shared" si="4"/>
        <v>0</v>
      </c>
    </row>
    <row r="153" spans="2:7" ht="14.4" customHeight="1" x14ac:dyDescent="0.25">
      <c r="B153" s="10">
        <v>139</v>
      </c>
      <c r="C153" s="38" t="s">
        <v>157</v>
      </c>
      <c r="D153" s="39"/>
      <c r="E153" s="1"/>
      <c r="F153" s="2">
        <v>136</v>
      </c>
      <c r="G153" s="11">
        <f t="shared" si="4"/>
        <v>0</v>
      </c>
    </row>
    <row r="154" spans="2:7" ht="14.4" customHeight="1" x14ac:dyDescent="0.25">
      <c r="B154" s="10"/>
      <c r="C154" s="50"/>
      <c r="D154" s="50"/>
      <c r="E154" s="48" t="s">
        <v>127</v>
      </c>
      <c r="F154" s="48"/>
      <c r="G154" s="13">
        <f>SUM(G16:INDEX(G:G, ROW()-1))</f>
        <v>0</v>
      </c>
    </row>
    <row r="155" spans="2:7" ht="14.4" customHeight="1" x14ac:dyDescent="0.25">
      <c r="B155" s="10"/>
      <c r="C155" s="50"/>
      <c r="D155" s="50"/>
      <c r="E155" s="48" t="s">
        <v>128</v>
      </c>
      <c r="F155" s="48"/>
      <c r="G155" s="13">
        <f>IF(OR(G9&gt;=60, G11), G154*0.2, 0)</f>
        <v>0</v>
      </c>
    </row>
    <row r="156" spans="2:7" ht="14.4" customHeight="1" thickBot="1" x14ac:dyDescent="0.3">
      <c r="B156" s="12"/>
      <c r="C156" s="51"/>
      <c r="D156" s="51"/>
      <c r="E156" s="49" t="s">
        <v>4</v>
      </c>
      <c r="F156" s="49"/>
      <c r="G156" s="14">
        <f>G154-G155</f>
        <v>0</v>
      </c>
    </row>
    <row r="157" spans="2:7" x14ac:dyDescent="0.25">
      <c r="B157" s="44" t="s">
        <v>129</v>
      </c>
      <c r="C157" s="44"/>
      <c r="D157" s="44"/>
      <c r="E157" s="44"/>
      <c r="F157" s="44"/>
      <c r="G157" s="44"/>
    </row>
    <row r="158" spans="2:7" ht="42" customHeight="1" x14ac:dyDescent="0.25"/>
    <row r="159" spans="2:7" x14ac:dyDescent="0.25">
      <c r="E159" s="45" t="s">
        <v>130</v>
      </c>
      <c r="F159" s="45"/>
      <c r="G159" s="45"/>
    </row>
    <row r="160" spans="2:7" x14ac:dyDescent="0.25">
      <c r="B160" s="40"/>
      <c r="C160" s="40"/>
      <c r="F160" s="40"/>
      <c r="G160" s="40"/>
    </row>
    <row r="161" spans="2:7" x14ac:dyDescent="0.25">
      <c r="B161" s="46"/>
      <c r="C161" s="46"/>
      <c r="F161" s="46"/>
      <c r="G161" s="46"/>
    </row>
    <row r="162" spans="2:7" x14ac:dyDescent="0.25">
      <c r="B162" s="47" t="s">
        <v>131</v>
      </c>
      <c r="C162" s="47"/>
    </row>
  </sheetData>
  <sheetProtection algorithmName="SHA-512" hashValue="LppYTazsEhstWPEuE97lPFRVJ8ZhTevtiaY95mVsPHmbZNk4WXY+0zxqV+2/kazd0PmyqCzj1hIrk1InVPJ+KQ==" saltValue="LtqwDKc1DqPjKRud4mOpwA==" spinCount="100000" sheet="1" objects="1" scenarios="1"/>
  <mergeCells count="157">
    <mergeCell ref="C149:D149"/>
    <mergeCell ref="C150:D150"/>
    <mergeCell ref="C151:D151"/>
    <mergeCell ref="C152:D152"/>
    <mergeCell ref="C153:D153"/>
    <mergeCell ref="C140:D140"/>
    <mergeCell ref="C141:D141"/>
    <mergeCell ref="C142:D142"/>
    <mergeCell ref="C143:D143"/>
    <mergeCell ref="C144:D144"/>
    <mergeCell ref="C145:D145"/>
    <mergeCell ref="C146:D146"/>
    <mergeCell ref="C147:D147"/>
    <mergeCell ref="C148:D148"/>
    <mergeCell ref="C131:D131"/>
    <mergeCell ref="C132:D132"/>
    <mergeCell ref="C133:D133"/>
    <mergeCell ref="C134:D134"/>
    <mergeCell ref="C135:D135"/>
    <mergeCell ref="C136:D136"/>
    <mergeCell ref="C137:D137"/>
    <mergeCell ref="C138:D138"/>
    <mergeCell ref="C139:D139"/>
    <mergeCell ref="I14:J14"/>
    <mergeCell ref="J12:J13"/>
    <mergeCell ref="C9:D9"/>
    <mergeCell ref="B157:G157"/>
    <mergeCell ref="E159:G159"/>
    <mergeCell ref="F160:G161"/>
    <mergeCell ref="B160:C161"/>
    <mergeCell ref="B162:C162"/>
    <mergeCell ref="E155:F155"/>
    <mergeCell ref="E156:F156"/>
    <mergeCell ref="C154:D154"/>
    <mergeCell ref="C155:D155"/>
    <mergeCell ref="C156:D156"/>
    <mergeCell ref="C129:D129"/>
    <mergeCell ref="C130:D130"/>
    <mergeCell ref="C10:D10"/>
    <mergeCell ref="E154:F154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35:D35"/>
    <mergeCell ref="C36:D36"/>
    <mergeCell ref="C37:D37"/>
    <mergeCell ref="C38:D38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B5:G5"/>
    <mergeCell ref="C15:D15"/>
    <mergeCell ref="C16:D16"/>
    <mergeCell ref="C17:D17"/>
    <mergeCell ref="C18:D18"/>
    <mergeCell ref="B2:G2"/>
    <mergeCell ref="B3:G3"/>
    <mergeCell ref="C24:D24"/>
    <mergeCell ref="C25:D25"/>
    <mergeCell ref="C26:D26"/>
    <mergeCell ref="C27:D27"/>
    <mergeCell ref="C28:D28"/>
    <mergeCell ref="C19:D19"/>
    <mergeCell ref="C20:D20"/>
    <mergeCell ref="C21:D21"/>
    <mergeCell ref="C22:D22"/>
    <mergeCell ref="C23:D23"/>
    <mergeCell ref="C34:D34"/>
    <mergeCell ref="C29:D29"/>
    <mergeCell ref="C30:D30"/>
    <mergeCell ref="C31:D31"/>
    <mergeCell ref="C32:D32"/>
    <mergeCell ref="C33:D33"/>
  </mergeCells>
  <dataValidations count="1">
    <dataValidation type="whole" operator="greaterThanOrEqual" allowBlank="1" showInputMessage="1" showErrorMessage="1" errorTitle="Invalid Input" error="Please input positive whole numbers only." sqref="E16:E153" xr:uid="{2B3B3D1A-E21A-40C7-8976-E4A688011C6F}">
      <formula1>1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118" r:id="rId4" name="Search_Enter">
          <controlPr defaultSize="0" autoLine="0" r:id="rId5">
            <anchor moveWithCells="1">
              <from>
                <xdr:col>9</xdr:col>
                <xdr:colOff>1264920</xdr:colOff>
                <xdr:row>6</xdr:row>
                <xdr:rowOff>167640</xdr:rowOff>
              </from>
              <to>
                <xdr:col>9</xdr:col>
                <xdr:colOff>2324100</xdr:colOff>
                <xdr:row>7</xdr:row>
                <xdr:rowOff>198120</xdr:rowOff>
              </to>
            </anchor>
          </controlPr>
        </control>
      </mc:Choice>
      <mc:Fallback>
        <control shapeId="4118" r:id="rId4" name="Search_Enter"/>
      </mc:Fallback>
    </mc:AlternateContent>
    <mc:AlternateContent xmlns:mc="http://schemas.openxmlformats.org/markup-compatibility/2006">
      <mc:Choice Requires="x14">
        <control shapeId="4117" r:id="rId6" name="Search_Clear">
          <controlPr defaultSize="0" autoLine="0" r:id="rId7">
            <anchor moveWithCells="1">
              <from>
                <xdr:col>8</xdr:col>
                <xdr:colOff>1104900</xdr:colOff>
                <xdr:row>6</xdr:row>
                <xdr:rowOff>167640</xdr:rowOff>
              </from>
              <to>
                <xdr:col>9</xdr:col>
                <xdr:colOff>800100</xdr:colOff>
                <xdr:row>7</xdr:row>
                <xdr:rowOff>198120</xdr:rowOff>
              </to>
            </anchor>
          </controlPr>
        </control>
      </mc:Choice>
      <mc:Fallback>
        <control shapeId="4117" r:id="rId6" name="Search_Clear"/>
      </mc:Fallback>
    </mc:AlternateContent>
    <mc:AlternateContent xmlns:mc="http://schemas.openxmlformats.org/markup-compatibility/2006">
      <mc:Choice Requires="x14">
        <control shapeId="4115" r:id="rId8" name="Label3">
          <controlPr defaultSize="0" autoLine="0" r:id="rId9">
            <anchor moveWithCells="1">
              <from>
                <xdr:col>8</xdr:col>
                <xdr:colOff>640080</xdr:colOff>
                <xdr:row>4</xdr:row>
                <xdr:rowOff>91440</xdr:rowOff>
              </from>
              <to>
                <xdr:col>9</xdr:col>
                <xdr:colOff>2788920</xdr:colOff>
                <xdr:row>5</xdr:row>
                <xdr:rowOff>99060</xdr:rowOff>
              </to>
            </anchor>
          </controlPr>
        </control>
      </mc:Choice>
      <mc:Fallback>
        <control shapeId="4115" r:id="rId8" name="Label3"/>
      </mc:Fallback>
    </mc:AlternateContent>
    <mc:AlternateContent xmlns:mc="http://schemas.openxmlformats.org/markup-compatibility/2006">
      <mc:Choice Requires="x14">
        <control shapeId="4114" r:id="rId10" name="Label2">
          <controlPr defaultSize="0" autoLine="0" r:id="rId11">
            <anchor moveWithCells="1">
              <from>
                <xdr:col>8</xdr:col>
                <xdr:colOff>640080</xdr:colOff>
                <xdr:row>8</xdr:row>
                <xdr:rowOff>53340</xdr:rowOff>
              </from>
              <to>
                <xdr:col>9</xdr:col>
                <xdr:colOff>2788920</xdr:colOff>
                <xdr:row>8</xdr:row>
                <xdr:rowOff>243840</xdr:rowOff>
              </to>
            </anchor>
          </controlPr>
        </control>
      </mc:Choice>
      <mc:Fallback>
        <control shapeId="4114" r:id="rId10" name="Label2"/>
      </mc:Fallback>
    </mc:AlternateContent>
    <mc:AlternateContent xmlns:mc="http://schemas.openxmlformats.org/markup-compatibility/2006">
      <mc:Choice Requires="x14">
        <control shapeId="4110" r:id="rId12" name="Searchbar">
          <controlPr locked="0" defaultSize="0" autoLine="0" linkedCell="C13" r:id="rId13">
            <anchor moveWithCells="1">
              <from>
                <xdr:col>8</xdr:col>
                <xdr:colOff>662940</xdr:colOff>
                <xdr:row>5</xdr:row>
                <xdr:rowOff>106680</xdr:rowOff>
              </from>
              <to>
                <xdr:col>9</xdr:col>
                <xdr:colOff>2766060</xdr:colOff>
                <xdr:row>6</xdr:row>
                <xdr:rowOff>137160</xdr:rowOff>
              </to>
            </anchor>
          </controlPr>
        </control>
      </mc:Choice>
      <mc:Fallback>
        <control shapeId="4110" r:id="rId12" name="Searchbar"/>
      </mc:Fallback>
    </mc:AlternateContent>
    <mc:AlternateContent xmlns:mc="http://schemas.openxmlformats.org/markup-compatibility/2006">
      <mc:Choice Requires="x14">
        <control shapeId="4109" r:id="rId14" name="Update">
          <controlPr defaultSize="0" autoLine="0" r:id="rId15">
            <anchor moveWithCells="1">
              <from>
                <xdr:col>9</xdr:col>
                <xdr:colOff>1219200</xdr:colOff>
                <xdr:row>10</xdr:row>
                <xdr:rowOff>220980</xdr:rowOff>
              </from>
              <to>
                <xdr:col>9</xdr:col>
                <xdr:colOff>2278380</xdr:colOff>
                <xdr:row>12</xdr:row>
                <xdr:rowOff>76200</xdr:rowOff>
              </to>
            </anchor>
          </controlPr>
        </control>
      </mc:Choice>
      <mc:Fallback>
        <control shapeId="4109" r:id="rId14" name="Update"/>
      </mc:Fallback>
    </mc:AlternateContent>
    <mc:AlternateContent xmlns:mc="http://schemas.openxmlformats.org/markup-compatibility/2006">
      <mc:Choice Requires="x14">
        <control shapeId="4108" r:id="rId16" name="Clear">
          <controlPr defaultSize="0" autoLine="0" r:id="rId17">
            <anchor moveWithCells="1">
              <from>
                <xdr:col>8</xdr:col>
                <xdr:colOff>1059180</xdr:colOff>
                <xdr:row>10</xdr:row>
                <xdr:rowOff>220980</xdr:rowOff>
              </from>
              <to>
                <xdr:col>9</xdr:col>
                <xdr:colOff>754380</xdr:colOff>
                <xdr:row>12</xdr:row>
                <xdr:rowOff>76200</xdr:rowOff>
              </to>
            </anchor>
          </controlPr>
        </control>
      </mc:Choice>
      <mc:Fallback>
        <control shapeId="4108" r:id="rId16" name="Clear"/>
      </mc:Fallback>
    </mc:AlternateContent>
    <mc:AlternateContent xmlns:mc="http://schemas.openxmlformats.org/markup-compatibility/2006">
      <mc:Choice Requires="x14">
        <control shapeId="4100" r:id="rId18" name="Product_Tools_Label">
          <controlPr defaultSize="0" autoLine="0" r:id="rId19">
            <anchor moveWithCells="1">
              <from>
                <xdr:col>8</xdr:col>
                <xdr:colOff>624840</xdr:colOff>
                <xdr:row>3</xdr:row>
                <xdr:rowOff>15240</xdr:rowOff>
              </from>
              <to>
                <xdr:col>9</xdr:col>
                <xdr:colOff>2781300</xdr:colOff>
                <xdr:row>4</xdr:row>
                <xdr:rowOff>22860</xdr:rowOff>
              </to>
            </anchor>
          </controlPr>
        </control>
      </mc:Choice>
      <mc:Fallback>
        <control shapeId="4100" r:id="rId18" name="Product_Tools_Label"/>
      </mc:Fallback>
    </mc:AlternateContent>
    <mc:AlternateContent xmlns:mc="http://schemas.openxmlformats.org/markup-compatibility/2006">
      <mc:Choice Requires="x14">
        <control shapeId="4101" r:id="rId20" name="Description_Label">
          <controlPr defaultSize="0" autoLine="0" r:id="rId21">
            <anchor moveWithCells="1">
              <from>
                <xdr:col>8</xdr:col>
                <xdr:colOff>640080</xdr:colOff>
                <xdr:row>9</xdr:row>
                <xdr:rowOff>15240</xdr:rowOff>
              </from>
              <to>
                <xdr:col>8</xdr:col>
                <xdr:colOff>1348740</xdr:colOff>
                <xdr:row>9</xdr:row>
                <xdr:rowOff>198120</xdr:rowOff>
              </to>
            </anchor>
          </controlPr>
        </control>
      </mc:Choice>
      <mc:Fallback>
        <control shapeId="4101" r:id="rId20" name="Description_Label"/>
      </mc:Fallback>
    </mc:AlternateContent>
    <mc:AlternateContent xmlns:mc="http://schemas.openxmlformats.org/markup-compatibility/2006">
      <mc:Choice Requires="x14">
        <control shapeId="4102" r:id="rId22" name="Price_Label">
          <controlPr defaultSize="0" autoLine="0" r:id="rId23">
            <anchor moveWithCells="1">
              <from>
                <xdr:col>8</xdr:col>
                <xdr:colOff>640080</xdr:colOff>
                <xdr:row>10</xdr:row>
                <xdr:rowOff>15240</xdr:rowOff>
              </from>
              <to>
                <xdr:col>8</xdr:col>
                <xdr:colOff>998220</xdr:colOff>
                <xdr:row>10</xdr:row>
                <xdr:rowOff>167640</xdr:rowOff>
              </to>
            </anchor>
          </controlPr>
        </control>
      </mc:Choice>
      <mc:Fallback>
        <control shapeId="4102" r:id="rId22" name="Price_Label"/>
      </mc:Fallback>
    </mc:AlternateContent>
    <mc:AlternateContent xmlns:mc="http://schemas.openxmlformats.org/markup-compatibility/2006">
      <mc:Choice Requires="x14">
        <control shapeId="4104" r:id="rId24" name="Description_Textbox">
          <controlPr defaultSize="0" autoLine="0" linkedCell="J18" r:id="rId25">
            <anchor moveWithCells="1">
              <from>
                <xdr:col>9</xdr:col>
                <xdr:colOff>38100</xdr:colOff>
                <xdr:row>9</xdr:row>
                <xdr:rowOff>0</xdr:rowOff>
              </from>
              <to>
                <xdr:col>9</xdr:col>
                <xdr:colOff>2697480</xdr:colOff>
                <xdr:row>9</xdr:row>
                <xdr:rowOff>213360</xdr:rowOff>
              </to>
            </anchor>
          </controlPr>
        </control>
      </mc:Choice>
      <mc:Fallback>
        <control shapeId="4104" r:id="rId24" name="Description_Textbox"/>
      </mc:Fallback>
    </mc:AlternateContent>
    <mc:AlternateContent xmlns:mc="http://schemas.openxmlformats.org/markup-compatibility/2006">
      <mc:Choice Requires="x14">
        <control shapeId="4105" r:id="rId26" name="Price_Texbox">
          <controlPr defaultSize="0" autoLine="0" linkedCell="J19" r:id="rId27">
            <anchor moveWithCells="1">
              <from>
                <xdr:col>8</xdr:col>
                <xdr:colOff>1112520</xdr:colOff>
                <xdr:row>9</xdr:row>
                <xdr:rowOff>236220</xdr:rowOff>
              </from>
              <to>
                <xdr:col>9</xdr:col>
                <xdr:colOff>2697480</xdr:colOff>
                <xdr:row>10</xdr:row>
                <xdr:rowOff>198120</xdr:rowOff>
              </to>
            </anchor>
          </controlPr>
        </control>
      </mc:Choice>
      <mc:Fallback>
        <control shapeId="4105" r:id="rId26" name="Price_Texbo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166BA-C7E1-44CB-BFC8-731C97B2BCC6}">
  <sheetPr codeName="Sheet1">
    <tabColor rgb="FF00B050"/>
    <pageSetUpPr autoPageBreaks="0"/>
  </sheetPr>
  <dimension ref="A1:H162"/>
  <sheetViews>
    <sheetView showGridLines="0" zoomScale="110" zoomScaleNormal="110" workbookViewId="0">
      <selection activeCell="E153" sqref="E153"/>
    </sheetView>
  </sheetViews>
  <sheetFormatPr defaultRowHeight="14.4" x14ac:dyDescent="0.3"/>
  <cols>
    <col min="1" max="1" width="8.88671875" style="15"/>
    <col min="2" max="2" width="20" style="15" customWidth="1"/>
    <col min="3" max="3" width="8.21875" style="15" customWidth="1"/>
    <col min="4" max="4" width="36.6640625" style="19" customWidth="1"/>
    <col min="5" max="6" width="10.77734375" style="15" customWidth="1"/>
    <col min="7" max="7" width="15.77734375" style="15" customWidth="1"/>
    <col min="8" max="8" width="4.6640625" style="23" customWidth="1"/>
    <col min="9" max="9" width="19.88671875" customWidth="1"/>
    <col min="10" max="10" width="52.33203125" customWidth="1"/>
    <col min="11" max="11" width="13.33203125" customWidth="1"/>
    <col min="12" max="12" width="5.33203125" customWidth="1"/>
  </cols>
  <sheetData>
    <row r="1" spans="2:7" x14ac:dyDescent="0.3">
      <c r="D1" s="15"/>
    </row>
    <row r="2" spans="2:7" ht="100.8" customHeight="1" x14ac:dyDescent="0.3">
      <c r="B2" s="40" t="e" vm="1">
        <v>#VALUE!</v>
      </c>
      <c r="C2" s="40"/>
      <c r="D2" s="40"/>
      <c r="E2" s="40"/>
      <c r="F2" s="40"/>
      <c r="G2" s="40"/>
    </row>
    <row r="3" spans="2:7" ht="14.4" customHeight="1" x14ac:dyDescent="0.3">
      <c r="B3" s="40" t="s">
        <v>9</v>
      </c>
      <c r="C3" s="40"/>
      <c r="D3" s="40"/>
      <c r="E3" s="40"/>
      <c r="F3" s="40"/>
      <c r="G3" s="40"/>
    </row>
    <row r="4" spans="2:7" ht="14.4" customHeight="1" x14ac:dyDescent="0.3">
      <c r="D4" s="15"/>
    </row>
    <row r="5" spans="2:7" ht="14.4" customHeight="1" x14ac:dyDescent="0.3">
      <c r="B5" s="33" t="s">
        <v>125</v>
      </c>
      <c r="C5" s="33"/>
      <c r="D5" s="33"/>
      <c r="E5" s="33"/>
      <c r="F5" s="33"/>
      <c r="G5" s="33"/>
    </row>
    <row r="6" spans="2:7" x14ac:dyDescent="0.3">
      <c r="D6" s="15"/>
    </row>
    <row r="7" spans="2:7" ht="19.95" customHeight="1" x14ac:dyDescent="0.3">
      <c r="D7" s="15"/>
      <c r="F7" s="16" t="s">
        <v>2</v>
      </c>
      <c r="G7" s="17">
        <f ca="1">(NOW() - DATE(1970,1,1)) * 86400</f>
        <v>1723929368.6800003</v>
      </c>
    </row>
    <row r="8" spans="2:7" ht="19.95" customHeight="1" x14ac:dyDescent="0.3">
      <c r="D8" s="15"/>
      <c r="F8" s="16" t="s">
        <v>6</v>
      </c>
      <c r="G8" s="18">
        <f ca="1">TODAY()</f>
        <v>45521</v>
      </c>
    </row>
    <row r="9" spans="2:7" ht="19.95" customHeight="1" x14ac:dyDescent="0.3">
      <c r="B9" s="19" t="s">
        <v>126</v>
      </c>
      <c r="C9" s="43"/>
      <c r="D9" s="43"/>
      <c r="F9" s="16" t="s">
        <v>5</v>
      </c>
      <c r="G9" s="20"/>
    </row>
    <row r="10" spans="2:7" ht="19.95" customHeight="1" x14ac:dyDescent="0.3">
      <c r="B10" s="16" t="s">
        <v>8</v>
      </c>
      <c r="C10" s="43"/>
      <c r="D10" s="43"/>
      <c r="F10" s="16" t="s">
        <v>7</v>
      </c>
      <c r="G10" s="20"/>
    </row>
    <row r="11" spans="2:7" ht="19.95" customHeight="1" x14ac:dyDescent="0.3">
      <c r="B11" s="16"/>
      <c r="D11" s="15"/>
      <c r="F11" s="16" t="s">
        <v>133</v>
      </c>
      <c r="G11" s="21" t="b">
        <v>0</v>
      </c>
    </row>
    <row r="12" spans="2:7" x14ac:dyDescent="0.3">
      <c r="B12" s="16"/>
      <c r="D12" s="15"/>
      <c r="F12" s="16"/>
    </row>
    <row r="13" spans="2:7" x14ac:dyDescent="0.3">
      <c r="B13" s="22"/>
      <c r="C13" s="23" t="s">
        <v>132</v>
      </c>
      <c r="D13" s="23"/>
      <c r="F13" s="16"/>
    </row>
    <row r="14" spans="2:7" ht="15" thickBot="1" x14ac:dyDescent="0.35">
      <c r="D14" s="15"/>
    </row>
    <row r="15" spans="2:7" ht="14.4" customHeight="1" thickBot="1" x14ac:dyDescent="0.35">
      <c r="B15" s="3" t="s">
        <v>2</v>
      </c>
      <c r="C15" s="34" t="s">
        <v>1</v>
      </c>
      <c r="D15" s="35"/>
      <c r="E15" s="4" t="s">
        <v>0</v>
      </c>
      <c r="F15" s="4" t="s">
        <v>3</v>
      </c>
      <c r="G15" s="5" t="s">
        <v>4</v>
      </c>
    </row>
    <row r="16" spans="2:7" ht="14.4" customHeight="1" x14ac:dyDescent="0.3">
      <c r="B16" s="6">
        <v>1</v>
      </c>
      <c r="C16" s="36" t="s">
        <v>10</v>
      </c>
      <c r="D16" s="37"/>
      <c r="E16" s="7"/>
      <c r="F16" s="8">
        <v>113</v>
      </c>
      <c r="G16" s="9">
        <f>E16*F16</f>
        <v>0</v>
      </c>
    </row>
    <row r="17" spans="2:7" ht="14.4" customHeight="1" x14ac:dyDescent="0.3">
      <c r="B17" s="10">
        <f>B16+1</f>
        <v>2</v>
      </c>
      <c r="C17" s="38" t="s">
        <v>11</v>
      </c>
      <c r="D17" s="39"/>
      <c r="E17" s="1"/>
      <c r="F17" s="2">
        <v>40</v>
      </c>
      <c r="G17" s="11">
        <f>E17*F17</f>
        <v>0</v>
      </c>
    </row>
    <row r="18" spans="2:7" ht="14.4" customHeight="1" x14ac:dyDescent="0.3">
      <c r="B18" s="10">
        <f>B17+1</f>
        <v>3</v>
      </c>
      <c r="C18" s="31" t="s">
        <v>12</v>
      </c>
      <c r="D18" s="32"/>
      <c r="E18" s="1"/>
      <c r="F18" s="2">
        <v>10</v>
      </c>
      <c r="G18" s="11">
        <f>E18*F18</f>
        <v>0</v>
      </c>
    </row>
    <row r="19" spans="2:7" ht="14.4" customHeight="1" x14ac:dyDescent="0.3">
      <c r="B19" s="10">
        <f t="shared" ref="B19:B82" si="0">B18+1</f>
        <v>4</v>
      </c>
      <c r="C19" s="31" t="s">
        <v>13</v>
      </c>
      <c r="D19" s="32"/>
      <c r="E19" s="1"/>
      <c r="F19" s="2">
        <v>12</v>
      </c>
      <c r="G19" s="11">
        <f t="shared" ref="G19:G82" si="1">E19*F19</f>
        <v>0</v>
      </c>
    </row>
    <row r="20" spans="2:7" ht="14.4" customHeight="1" x14ac:dyDescent="0.3">
      <c r="B20" s="10">
        <f t="shared" si="0"/>
        <v>5</v>
      </c>
      <c r="C20" s="31" t="s">
        <v>14</v>
      </c>
      <c r="D20" s="32"/>
      <c r="E20" s="1"/>
      <c r="F20" s="2">
        <v>35</v>
      </c>
      <c r="G20" s="11">
        <f t="shared" si="1"/>
        <v>0</v>
      </c>
    </row>
    <row r="21" spans="2:7" ht="14.4" customHeight="1" x14ac:dyDescent="0.3">
      <c r="B21" s="10">
        <f t="shared" si="0"/>
        <v>6</v>
      </c>
      <c r="C21" s="31" t="s">
        <v>15</v>
      </c>
      <c r="D21" s="32"/>
      <c r="E21" s="1"/>
      <c r="F21" s="2">
        <v>15</v>
      </c>
      <c r="G21" s="11">
        <f t="shared" si="1"/>
        <v>0</v>
      </c>
    </row>
    <row r="22" spans="2:7" ht="14.4" customHeight="1" x14ac:dyDescent="0.3">
      <c r="B22" s="10">
        <f t="shared" si="0"/>
        <v>7</v>
      </c>
      <c r="C22" s="31" t="s">
        <v>16</v>
      </c>
      <c r="D22" s="32"/>
      <c r="E22" s="1"/>
      <c r="F22" s="2">
        <v>25</v>
      </c>
      <c r="G22" s="11">
        <f t="shared" si="1"/>
        <v>0</v>
      </c>
    </row>
    <row r="23" spans="2:7" ht="14.4" customHeight="1" x14ac:dyDescent="0.3">
      <c r="B23" s="10">
        <f t="shared" si="0"/>
        <v>8</v>
      </c>
      <c r="C23" s="31" t="s">
        <v>17</v>
      </c>
      <c r="D23" s="32"/>
      <c r="E23" s="1"/>
      <c r="F23" s="2">
        <v>18</v>
      </c>
      <c r="G23" s="11">
        <f t="shared" si="1"/>
        <v>0</v>
      </c>
    </row>
    <row r="24" spans="2:7" ht="14.4" customHeight="1" x14ac:dyDescent="0.3">
      <c r="B24" s="10">
        <f t="shared" si="0"/>
        <v>9</v>
      </c>
      <c r="C24" s="31" t="s">
        <v>18</v>
      </c>
      <c r="D24" s="32"/>
      <c r="E24" s="1"/>
      <c r="F24" s="2">
        <v>12</v>
      </c>
      <c r="G24" s="11">
        <f t="shared" si="1"/>
        <v>0</v>
      </c>
    </row>
    <row r="25" spans="2:7" ht="14.4" customHeight="1" x14ac:dyDescent="0.3">
      <c r="B25" s="10">
        <f t="shared" si="0"/>
        <v>10</v>
      </c>
      <c r="C25" s="31" t="s">
        <v>19</v>
      </c>
      <c r="D25" s="32"/>
      <c r="E25" s="1"/>
      <c r="F25" s="2">
        <v>25</v>
      </c>
      <c r="G25" s="11">
        <f t="shared" si="1"/>
        <v>0</v>
      </c>
    </row>
    <row r="26" spans="2:7" ht="14.4" customHeight="1" x14ac:dyDescent="0.3">
      <c r="B26" s="10">
        <f t="shared" si="0"/>
        <v>11</v>
      </c>
      <c r="C26" s="31" t="s">
        <v>20</v>
      </c>
      <c r="D26" s="32"/>
      <c r="E26" s="1"/>
      <c r="F26" s="2">
        <v>15</v>
      </c>
      <c r="G26" s="11">
        <f t="shared" si="1"/>
        <v>0</v>
      </c>
    </row>
    <row r="27" spans="2:7" ht="14.4" customHeight="1" x14ac:dyDescent="0.3">
      <c r="B27" s="10">
        <f t="shared" si="0"/>
        <v>12</v>
      </c>
      <c r="C27" s="31" t="s">
        <v>21</v>
      </c>
      <c r="D27" s="32"/>
      <c r="E27" s="1"/>
      <c r="F27" s="2">
        <v>28</v>
      </c>
      <c r="G27" s="11">
        <f t="shared" si="1"/>
        <v>0</v>
      </c>
    </row>
    <row r="28" spans="2:7" ht="14.4" customHeight="1" x14ac:dyDescent="0.3">
      <c r="B28" s="10">
        <f t="shared" si="0"/>
        <v>13</v>
      </c>
      <c r="C28" s="31" t="s">
        <v>22</v>
      </c>
      <c r="D28" s="32"/>
      <c r="E28" s="1"/>
      <c r="F28" s="2">
        <v>38</v>
      </c>
      <c r="G28" s="11">
        <f t="shared" si="1"/>
        <v>0</v>
      </c>
    </row>
    <row r="29" spans="2:7" ht="14.4" customHeight="1" x14ac:dyDescent="0.3">
      <c r="B29" s="10">
        <f t="shared" si="0"/>
        <v>14</v>
      </c>
      <c r="C29" s="31" t="s">
        <v>23</v>
      </c>
      <c r="D29" s="32"/>
      <c r="E29" s="1"/>
      <c r="F29" s="2">
        <v>85</v>
      </c>
      <c r="G29" s="11">
        <f t="shared" si="1"/>
        <v>0</v>
      </c>
    </row>
    <row r="30" spans="2:7" ht="14.4" customHeight="1" x14ac:dyDescent="0.3">
      <c r="B30" s="10">
        <f t="shared" si="0"/>
        <v>15</v>
      </c>
      <c r="C30" s="31" t="s">
        <v>24</v>
      </c>
      <c r="D30" s="32"/>
      <c r="E30" s="1"/>
      <c r="F30" s="2">
        <v>29</v>
      </c>
      <c r="G30" s="11">
        <f t="shared" si="1"/>
        <v>0</v>
      </c>
    </row>
    <row r="31" spans="2:7" ht="14.4" customHeight="1" x14ac:dyDescent="0.3">
      <c r="B31" s="10">
        <f t="shared" si="0"/>
        <v>16</v>
      </c>
      <c r="C31" s="31" t="s">
        <v>25</v>
      </c>
      <c r="D31" s="32"/>
      <c r="E31" s="1"/>
      <c r="F31" s="2">
        <v>85</v>
      </c>
      <c r="G31" s="11">
        <f t="shared" si="1"/>
        <v>0</v>
      </c>
    </row>
    <row r="32" spans="2:7" ht="14.4" customHeight="1" x14ac:dyDescent="0.3">
      <c r="B32" s="10">
        <f t="shared" si="0"/>
        <v>17</v>
      </c>
      <c r="C32" s="31" t="s">
        <v>26</v>
      </c>
      <c r="D32" s="32"/>
      <c r="E32" s="1"/>
      <c r="F32" s="2">
        <v>12</v>
      </c>
      <c r="G32" s="11">
        <f t="shared" si="1"/>
        <v>0</v>
      </c>
    </row>
    <row r="33" spans="2:7" ht="14.4" customHeight="1" x14ac:dyDescent="0.3">
      <c r="B33" s="10">
        <f t="shared" si="0"/>
        <v>18</v>
      </c>
      <c r="C33" s="31" t="s">
        <v>27</v>
      </c>
      <c r="D33" s="32"/>
      <c r="E33" s="1"/>
      <c r="F33" s="2">
        <v>15</v>
      </c>
      <c r="G33" s="11">
        <f t="shared" si="1"/>
        <v>0</v>
      </c>
    </row>
    <row r="34" spans="2:7" ht="14.4" customHeight="1" x14ac:dyDescent="0.3">
      <c r="B34" s="10">
        <f t="shared" si="0"/>
        <v>19</v>
      </c>
      <c r="C34" s="31" t="s">
        <v>28</v>
      </c>
      <c r="D34" s="32"/>
      <c r="E34" s="1"/>
      <c r="F34" s="2">
        <v>25</v>
      </c>
      <c r="G34" s="11">
        <f t="shared" si="1"/>
        <v>0</v>
      </c>
    </row>
    <row r="35" spans="2:7" ht="14.4" customHeight="1" x14ac:dyDescent="0.3">
      <c r="B35" s="10">
        <f t="shared" si="0"/>
        <v>20</v>
      </c>
      <c r="C35" s="31" t="s">
        <v>29</v>
      </c>
      <c r="D35" s="32"/>
      <c r="E35" s="1"/>
      <c r="F35" s="2">
        <v>30</v>
      </c>
      <c r="G35" s="11">
        <f t="shared" si="1"/>
        <v>0</v>
      </c>
    </row>
    <row r="36" spans="2:7" ht="14.4" customHeight="1" x14ac:dyDescent="0.3">
      <c r="B36" s="10">
        <f t="shared" si="0"/>
        <v>21</v>
      </c>
      <c r="C36" s="31" t="s">
        <v>30</v>
      </c>
      <c r="D36" s="32"/>
      <c r="E36" s="1"/>
      <c r="F36" s="2">
        <v>29</v>
      </c>
      <c r="G36" s="11">
        <f t="shared" si="1"/>
        <v>0</v>
      </c>
    </row>
    <row r="37" spans="2:7" ht="14.4" customHeight="1" x14ac:dyDescent="0.3">
      <c r="B37" s="10">
        <f t="shared" si="0"/>
        <v>22</v>
      </c>
      <c r="C37" s="31" t="s">
        <v>31</v>
      </c>
      <c r="D37" s="32"/>
      <c r="E37" s="1"/>
      <c r="F37" s="2">
        <v>38</v>
      </c>
      <c r="G37" s="11">
        <f t="shared" si="1"/>
        <v>0</v>
      </c>
    </row>
    <row r="38" spans="2:7" ht="14.4" customHeight="1" x14ac:dyDescent="0.3">
      <c r="B38" s="10">
        <f t="shared" si="0"/>
        <v>23</v>
      </c>
      <c r="C38" s="31" t="s">
        <v>32</v>
      </c>
      <c r="D38" s="32"/>
      <c r="E38" s="1"/>
      <c r="F38" s="2">
        <v>135</v>
      </c>
      <c r="G38" s="11">
        <f t="shared" si="1"/>
        <v>0</v>
      </c>
    </row>
    <row r="39" spans="2:7" ht="14.4" customHeight="1" x14ac:dyDescent="0.3">
      <c r="B39" s="10">
        <f t="shared" si="0"/>
        <v>24</v>
      </c>
      <c r="C39" s="31" t="s">
        <v>33</v>
      </c>
      <c r="D39" s="32"/>
      <c r="E39" s="1"/>
      <c r="F39" s="2">
        <v>57</v>
      </c>
      <c r="G39" s="11">
        <f t="shared" si="1"/>
        <v>0</v>
      </c>
    </row>
    <row r="40" spans="2:7" ht="14.4" customHeight="1" x14ac:dyDescent="0.3">
      <c r="B40" s="10">
        <f t="shared" si="0"/>
        <v>25</v>
      </c>
      <c r="C40" s="31" t="s">
        <v>34</v>
      </c>
      <c r="D40" s="32"/>
      <c r="E40" s="1"/>
      <c r="F40" s="2">
        <v>55</v>
      </c>
      <c r="G40" s="11">
        <f t="shared" si="1"/>
        <v>0</v>
      </c>
    </row>
    <row r="41" spans="2:7" ht="14.4" customHeight="1" x14ac:dyDescent="0.3">
      <c r="B41" s="10">
        <f t="shared" si="0"/>
        <v>26</v>
      </c>
      <c r="C41" s="31" t="s">
        <v>35</v>
      </c>
      <c r="D41" s="32"/>
      <c r="E41" s="1"/>
      <c r="F41" s="2">
        <v>16</v>
      </c>
      <c r="G41" s="11">
        <f t="shared" si="1"/>
        <v>0</v>
      </c>
    </row>
    <row r="42" spans="2:7" ht="14.4" customHeight="1" x14ac:dyDescent="0.3">
      <c r="B42" s="10">
        <f t="shared" si="0"/>
        <v>27</v>
      </c>
      <c r="C42" s="31" t="s">
        <v>36</v>
      </c>
      <c r="D42" s="32"/>
      <c r="E42" s="1"/>
      <c r="F42" s="2">
        <v>45</v>
      </c>
      <c r="G42" s="11">
        <f t="shared" si="1"/>
        <v>0</v>
      </c>
    </row>
    <row r="43" spans="2:7" ht="14.4" customHeight="1" x14ac:dyDescent="0.3">
      <c r="B43" s="10">
        <f t="shared" si="0"/>
        <v>28</v>
      </c>
      <c r="C43" s="31" t="s">
        <v>37</v>
      </c>
      <c r="D43" s="32"/>
      <c r="E43" s="1"/>
      <c r="F43" s="2">
        <v>36</v>
      </c>
      <c r="G43" s="11">
        <f t="shared" si="1"/>
        <v>0</v>
      </c>
    </row>
    <row r="44" spans="2:7" ht="14.4" customHeight="1" x14ac:dyDescent="0.3">
      <c r="B44" s="10">
        <f t="shared" si="0"/>
        <v>29</v>
      </c>
      <c r="C44" s="31" t="s">
        <v>38</v>
      </c>
      <c r="D44" s="32"/>
      <c r="E44" s="1"/>
      <c r="F44" s="2">
        <v>83</v>
      </c>
      <c r="G44" s="11">
        <f t="shared" si="1"/>
        <v>0</v>
      </c>
    </row>
    <row r="45" spans="2:7" ht="14.4" customHeight="1" x14ac:dyDescent="0.3">
      <c r="B45" s="10">
        <f t="shared" si="0"/>
        <v>30</v>
      </c>
      <c r="C45" s="31" t="s">
        <v>39</v>
      </c>
      <c r="D45" s="32"/>
      <c r="E45" s="1"/>
      <c r="F45" s="2">
        <v>37</v>
      </c>
      <c r="G45" s="11">
        <f t="shared" si="1"/>
        <v>0</v>
      </c>
    </row>
    <row r="46" spans="2:7" ht="14.4" customHeight="1" x14ac:dyDescent="0.3">
      <c r="B46" s="10">
        <f t="shared" si="0"/>
        <v>31</v>
      </c>
      <c r="C46" s="31" t="s">
        <v>40</v>
      </c>
      <c r="D46" s="32"/>
      <c r="E46" s="1"/>
      <c r="F46" s="2">
        <v>220</v>
      </c>
      <c r="G46" s="11">
        <f t="shared" si="1"/>
        <v>0</v>
      </c>
    </row>
    <row r="47" spans="2:7" ht="14.4" customHeight="1" x14ac:dyDescent="0.3">
      <c r="B47" s="10">
        <f t="shared" si="0"/>
        <v>32</v>
      </c>
      <c r="C47" s="31" t="s">
        <v>41</v>
      </c>
      <c r="D47" s="32"/>
      <c r="E47" s="1"/>
      <c r="F47" s="2">
        <v>35</v>
      </c>
      <c r="G47" s="11">
        <f t="shared" si="1"/>
        <v>0</v>
      </c>
    </row>
    <row r="48" spans="2:7" ht="14.4" customHeight="1" x14ac:dyDescent="0.3">
      <c r="B48" s="10">
        <f t="shared" si="0"/>
        <v>33</v>
      </c>
      <c r="C48" s="31" t="s">
        <v>42</v>
      </c>
      <c r="D48" s="32"/>
      <c r="E48" s="1"/>
      <c r="F48" s="2">
        <v>25</v>
      </c>
      <c r="G48" s="11">
        <f t="shared" si="1"/>
        <v>0</v>
      </c>
    </row>
    <row r="49" spans="2:7" ht="14.4" customHeight="1" x14ac:dyDescent="0.3">
      <c r="B49" s="10">
        <f t="shared" si="0"/>
        <v>34</v>
      </c>
      <c r="C49" s="31" t="s">
        <v>43</v>
      </c>
      <c r="D49" s="32"/>
      <c r="E49" s="1"/>
      <c r="F49" s="2">
        <v>27</v>
      </c>
      <c r="G49" s="11">
        <f t="shared" si="1"/>
        <v>0</v>
      </c>
    </row>
    <row r="50" spans="2:7" ht="14.4" customHeight="1" x14ac:dyDescent="0.3">
      <c r="B50" s="10">
        <f t="shared" si="0"/>
        <v>35</v>
      </c>
      <c r="C50" s="31" t="s">
        <v>44</v>
      </c>
      <c r="D50" s="32"/>
      <c r="E50" s="1"/>
      <c r="F50" s="2">
        <v>70</v>
      </c>
      <c r="G50" s="11">
        <f t="shared" si="1"/>
        <v>0</v>
      </c>
    </row>
    <row r="51" spans="2:7" ht="14.4" customHeight="1" x14ac:dyDescent="0.3">
      <c r="B51" s="10">
        <f t="shared" si="0"/>
        <v>36</v>
      </c>
      <c r="C51" s="31" t="s">
        <v>45</v>
      </c>
      <c r="D51" s="32"/>
      <c r="E51" s="1"/>
      <c r="F51" s="2">
        <v>10</v>
      </c>
      <c r="G51" s="11">
        <f t="shared" si="1"/>
        <v>0</v>
      </c>
    </row>
    <row r="52" spans="2:7" ht="14.4" customHeight="1" x14ac:dyDescent="0.3">
      <c r="B52" s="10">
        <f t="shared" si="0"/>
        <v>37</v>
      </c>
      <c r="C52" s="31" t="s">
        <v>46</v>
      </c>
      <c r="D52" s="32"/>
      <c r="E52" s="1"/>
      <c r="F52" s="2">
        <v>14</v>
      </c>
      <c r="G52" s="11">
        <f t="shared" si="1"/>
        <v>0</v>
      </c>
    </row>
    <row r="53" spans="2:7" ht="14.4" customHeight="1" x14ac:dyDescent="0.3">
      <c r="B53" s="10">
        <f t="shared" si="0"/>
        <v>38</v>
      </c>
      <c r="C53" s="31" t="s">
        <v>47</v>
      </c>
      <c r="D53" s="32"/>
      <c r="E53" s="1"/>
      <c r="F53" s="2">
        <v>12</v>
      </c>
      <c r="G53" s="11">
        <f t="shared" si="1"/>
        <v>0</v>
      </c>
    </row>
    <row r="54" spans="2:7" ht="14.4" customHeight="1" x14ac:dyDescent="0.3">
      <c r="B54" s="10">
        <f t="shared" si="0"/>
        <v>39</v>
      </c>
      <c r="C54" s="31" t="s">
        <v>48</v>
      </c>
      <c r="D54" s="32"/>
      <c r="E54" s="1"/>
      <c r="F54" s="2">
        <v>28</v>
      </c>
      <c r="G54" s="11">
        <f t="shared" si="1"/>
        <v>0</v>
      </c>
    </row>
    <row r="55" spans="2:7" ht="14.4" customHeight="1" x14ac:dyDescent="0.3">
      <c r="B55" s="10">
        <f t="shared" si="0"/>
        <v>40</v>
      </c>
      <c r="C55" s="31" t="s">
        <v>49</v>
      </c>
      <c r="D55" s="32"/>
      <c r="E55" s="1"/>
      <c r="F55" s="2">
        <v>30</v>
      </c>
      <c r="G55" s="11">
        <f t="shared" si="1"/>
        <v>0</v>
      </c>
    </row>
    <row r="56" spans="2:7" ht="14.4" customHeight="1" x14ac:dyDescent="0.3">
      <c r="B56" s="10">
        <f t="shared" si="0"/>
        <v>41</v>
      </c>
      <c r="C56" s="31" t="s">
        <v>50</v>
      </c>
      <c r="D56" s="32"/>
      <c r="E56" s="1"/>
      <c r="F56" s="2">
        <v>70</v>
      </c>
      <c r="G56" s="11">
        <f t="shared" si="1"/>
        <v>0</v>
      </c>
    </row>
    <row r="57" spans="2:7" ht="14.4" customHeight="1" x14ac:dyDescent="0.3">
      <c r="B57" s="10">
        <f t="shared" si="0"/>
        <v>42</v>
      </c>
      <c r="C57" s="31" t="s">
        <v>51</v>
      </c>
      <c r="D57" s="32"/>
      <c r="E57" s="1"/>
      <c r="F57" s="2">
        <v>90</v>
      </c>
      <c r="G57" s="11">
        <f t="shared" si="1"/>
        <v>0</v>
      </c>
    </row>
    <row r="58" spans="2:7" ht="14.4" customHeight="1" x14ac:dyDescent="0.3">
      <c r="B58" s="10">
        <f t="shared" si="0"/>
        <v>43</v>
      </c>
      <c r="C58" s="31" t="s">
        <v>52</v>
      </c>
      <c r="D58" s="32"/>
      <c r="E58" s="1"/>
      <c r="F58" s="2">
        <v>1200</v>
      </c>
      <c r="G58" s="11">
        <f t="shared" si="1"/>
        <v>0</v>
      </c>
    </row>
    <row r="59" spans="2:7" ht="14.4" customHeight="1" x14ac:dyDescent="0.3">
      <c r="B59" s="10">
        <f t="shared" si="0"/>
        <v>44</v>
      </c>
      <c r="C59" s="31" t="s">
        <v>53</v>
      </c>
      <c r="D59" s="32"/>
      <c r="E59" s="1"/>
      <c r="F59" s="2">
        <v>89</v>
      </c>
      <c r="G59" s="11">
        <f t="shared" si="1"/>
        <v>0</v>
      </c>
    </row>
    <row r="60" spans="2:7" ht="14.4" customHeight="1" x14ac:dyDescent="0.3">
      <c r="B60" s="10">
        <f t="shared" si="0"/>
        <v>45</v>
      </c>
      <c r="C60" s="31" t="s">
        <v>54</v>
      </c>
      <c r="D60" s="32"/>
      <c r="E60" s="1"/>
      <c r="F60" s="2">
        <v>35</v>
      </c>
      <c r="G60" s="11">
        <f t="shared" si="1"/>
        <v>0</v>
      </c>
    </row>
    <row r="61" spans="2:7" ht="14.4" customHeight="1" x14ac:dyDescent="0.3">
      <c r="B61" s="10">
        <f t="shared" si="0"/>
        <v>46</v>
      </c>
      <c r="C61" s="31" t="s">
        <v>55</v>
      </c>
      <c r="D61" s="32"/>
      <c r="E61" s="1"/>
      <c r="F61" s="2">
        <v>48</v>
      </c>
      <c r="G61" s="11">
        <f t="shared" si="1"/>
        <v>0</v>
      </c>
    </row>
    <row r="62" spans="2:7" ht="14.4" customHeight="1" x14ac:dyDescent="0.3">
      <c r="B62" s="10">
        <f t="shared" si="0"/>
        <v>47</v>
      </c>
      <c r="C62" s="31" t="s">
        <v>56</v>
      </c>
      <c r="D62" s="32"/>
      <c r="E62" s="1"/>
      <c r="F62" s="2">
        <v>14</v>
      </c>
      <c r="G62" s="11">
        <f t="shared" si="1"/>
        <v>0</v>
      </c>
    </row>
    <row r="63" spans="2:7" ht="14.4" customHeight="1" x14ac:dyDescent="0.3">
      <c r="B63" s="10">
        <f t="shared" si="0"/>
        <v>48</v>
      </c>
      <c r="C63" s="31" t="s">
        <v>57</v>
      </c>
      <c r="D63" s="32"/>
      <c r="E63" s="1"/>
      <c r="F63" s="2">
        <v>18</v>
      </c>
      <c r="G63" s="11">
        <f t="shared" si="1"/>
        <v>0</v>
      </c>
    </row>
    <row r="64" spans="2:7" ht="14.4" customHeight="1" x14ac:dyDescent="0.3">
      <c r="B64" s="10">
        <f t="shared" si="0"/>
        <v>49</v>
      </c>
      <c r="C64" s="31" t="s">
        <v>58</v>
      </c>
      <c r="D64" s="32"/>
      <c r="E64" s="1"/>
      <c r="F64" s="2">
        <v>60</v>
      </c>
      <c r="G64" s="11">
        <f t="shared" si="1"/>
        <v>0</v>
      </c>
    </row>
    <row r="65" spans="2:7" ht="14.4" customHeight="1" x14ac:dyDescent="0.3">
      <c r="B65" s="10">
        <f t="shared" si="0"/>
        <v>50</v>
      </c>
      <c r="C65" s="31" t="s">
        <v>59</v>
      </c>
      <c r="D65" s="32"/>
      <c r="E65" s="1"/>
      <c r="F65" s="2">
        <v>19</v>
      </c>
      <c r="G65" s="11">
        <f t="shared" si="1"/>
        <v>0</v>
      </c>
    </row>
    <row r="66" spans="2:7" ht="14.4" customHeight="1" x14ac:dyDescent="0.3">
      <c r="B66" s="10">
        <f t="shared" si="0"/>
        <v>51</v>
      </c>
      <c r="C66" s="31" t="s">
        <v>60</v>
      </c>
      <c r="D66" s="32"/>
      <c r="E66" s="1"/>
      <c r="F66" s="2">
        <v>36</v>
      </c>
      <c r="G66" s="11">
        <f t="shared" si="1"/>
        <v>0</v>
      </c>
    </row>
    <row r="67" spans="2:7" ht="14.4" customHeight="1" x14ac:dyDescent="0.3">
      <c r="B67" s="10">
        <f t="shared" si="0"/>
        <v>52</v>
      </c>
      <c r="C67" s="31" t="s">
        <v>61</v>
      </c>
      <c r="D67" s="32"/>
      <c r="E67" s="1"/>
      <c r="F67" s="2">
        <v>54</v>
      </c>
      <c r="G67" s="11">
        <f t="shared" si="1"/>
        <v>0</v>
      </c>
    </row>
    <row r="68" spans="2:7" ht="14.4" customHeight="1" x14ac:dyDescent="0.3">
      <c r="B68" s="10">
        <f t="shared" si="0"/>
        <v>53</v>
      </c>
      <c r="C68" s="31" t="s">
        <v>62</v>
      </c>
      <c r="D68" s="32"/>
      <c r="E68" s="1"/>
      <c r="F68" s="2">
        <v>32</v>
      </c>
      <c r="G68" s="11">
        <f t="shared" si="1"/>
        <v>0</v>
      </c>
    </row>
    <row r="69" spans="2:7" ht="14.4" customHeight="1" x14ac:dyDescent="0.3">
      <c r="B69" s="10">
        <f t="shared" si="0"/>
        <v>54</v>
      </c>
      <c r="C69" s="31" t="s">
        <v>63</v>
      </c>
      <c r="D69" s="32"/>
      <c r="E69" s="1"/>
      <c r="F69" s="2">
        <v>40</v>
      </c>
      <c r="G69" s="11">
        <f>E69*F69</f>
        <v>0</v>
      </c>
    </row>
    <row r="70" spans="2:7" ht="14.4" customHeight="1" x14ac:dyDescent="0.3">
      <c r="B70" s="10">
        <f t="shared" si="0"/>
        <v>55</v>
      </c>
      <c r="C70" s="31" t="s">
        <v>64</v>
      </c>
      <c r="D70" s="32"/>
      <c r="E70" s="1"/>
      <c r="F70" s="2">
        <v>15</v>
      </c>
      <c r="G70" s="11">
        <f t="shared" si="1"/>
        <v>0</v>
      </c>
    </row>
    <row r="71" spans="2:7" ht="14.4" customHeight="1" x14ac:dyDescent="0.3">
      <c r="B71" s="10">
        <f t="shared" si="0"/>
        <v>56</v>
      </c>
      <c r="C71" s="31" t="s">
        <v>65</v>
      </c>
      <c r="D71" s="32"/>
      <c r="E71" s="1"/>
      <c r="F71" s="2">
        <v>30</v>
      </c>
      <c r="G71" s="11">
        <f t="shared" si="1"/>
        <v>0</v>
      </c>
    </row>
    <row r="72" spans="2:7" ht="14.4" customHeight="1" x14ac:dyDescent="0.3">
      <c r="B72" s="10">
        <f t="shared" si="0"/>
        <v>57</v>
      </c>
      <c r="C72" s="31" t="s">
        <v>66</v>
      </c>
      <c r="D72" s="32"/>
      <c r="E72" s="1"/>
      <c r="F72" s="2">
        <v>1385</v>
      </c>
      <c r="G72" s="11">
        <f t="shared" si="1"/>
        <v>0</v>
      </c>
    </row>
    <row r="73" spans="2:7" ht="14.4" customHeight="1" x14ac:dyDescent="0.3">
      <c r="B73" s="10">
        <f t="shared" si="0"/>
        <v>58</v>
      </c>
      <c r="C73" s="31" t="s">
        <v>67</v>
      </c>
      <c r="D73" s="32"/>
      <c r="E73" s="1"/>
      <c r="F73" s="2">
        <v>25</v>
      </c>
      <c r="G73" s="11">
        <f t="shared" si="1"/>
        <v>0</v>
      </c>
    </row>
    <row r="74" spans="2:7" ht="14.4" customHeight="1" x14ac:dyDescent="0.3">
      <c r="B74" s="10">
        <f t="shared" si="0"/>
        <v>59</v>
      </c>
      <c r="C74" s="31" t="s">
        <v>68</v>
      </c>
      <c r="D74" s="32"/>
      <c r="E74" s="1"/>
      <c r="F74" s="2">
        <v>25</v>
      </c>
      <c r="G74" s="11">
        <f t="shared" si="1"/>
        <v>0</v>
      </c>
    </row>
    <row r="75" spans="2:7" ht="14.4" customHeight="1" x14ac:dyDescent="0.3">
      <c r="B75" s="10">
        <f t="shared" si="0"/>
        <v>60</v>
      </c>
      <c r="C75" s="31" t="s">
        <v>69</v>
      </c>
      <c r="D75" s="32"/>
      <c r="E75" s="1"/>
      <c r="F75" s="2">
        <v>12</v>
      </c>
      <c r="G75" s="11">
        <f t="shared" si="1"/>
        <v>0</v>
      </c>
    </row>
    <row r="76" spans="2:7" ht="14.4" customHeight="1" x14ac:dyDescent="0.3">
      <c r="B76" s="10">
        <f t="shared" si="0"/>
        <v>61</v>
      </c>
      <c r="C76" s="31" t="s">
        <v>70</v>
      </c>
      <c r="D76" s="32"/>
      <c r="E76" s="1"/>
      <c r="F76" s="2">
        <v>20</v>
      </c>
      <c r="G76" s="11">
        <f t="shared" si="1"/>
        <v>0</v>
      </c>
    </row>
    <row r="77" spans="2:7" ht="14.4" customHeight="1" x14ac:dyDescent="0.3">
      <c r="B77" s="10">
        <f t="shared" si="0"/>
        <v>62</v>
      </c>
      <c r="C77" s="31" t="s">
        <v>71</v>
      </c>
      <c r="D77" s="32"/>
      <c r="E77" s="1"/>
      <c r="F77" s="2">
        <v>80</v>
      </c>
      <c r="G77" s="11">
        <f t="shared" si="1"/>
        <v>0</v>
      </c>
    </row>
    <row r="78" spans="2:7" ht="14.4" customHeight="1" x14ac:dyDescent="0.3">
      <c r="B78" s="10">
        <f t="shared" si="0"/>
        <v>63</v>
      </c>
      <c r="C78" s="31" t="s">
        <v>72</v>
      </c>
      <c r="D78" s="32"/>
      <c r="E78" s="1"/>
      <c r="F78" s="2">
        <v>23</v>
      </c>
      <c r="G78" s="11">
        <f t="shared" si="1"/>
        <v>0</v>
      </c>
    </row>
    <row r="79" spans="2:7" ht="14.4" customHeight="1" x14ac:dyDescent="0.3">
      <c r="B79" s="10">
        <f t="shared" si="0"/>
        <v>64</v>
      </c>
      <c r="C79" s="31" t="s">
        <v>73</v>
      </c>
      <c r="D79" s="32"/>
      <c r="E79" s="1"/>
      <c r="F79" s="2">
        <v>28</v>
      </c>
      <c r="G79" s="11">
        <f t="shared" si="1"/>
        <v>0</v>
      </c>
    </row>
    <row r="80" spans="2:7" ht="14.4" customHeight="1" x14ac:dyDescent="0.3">
      <c r="B80" s="10">
        <f t="shared" si="0"/>
        <v>65</v>
      </c>
      <c r="C80" s="31" t="s">
        <v>74</v>
      </c>
      <c r="D80" s="32"/>
      <c r="E80" s="1"/>
      <c r="F80" s="2">
        <v>40</v>
      </c>
      <c r="G80" s="11">
        <f t="shared" si="1"/>
        <v>0</v>
      </c>
    </row>
    <row r="81" spans="2:7" ht="14.4" customHeight="1" x14ac:dyDescent="0.3">
      <c r="B81" s="10">
        <f t="shared" si="0"/>
        <v>66</v>
      </c>
      <c r="C81" s="31" t="s">
        <v>75</v>
      </c>
      <c r="D81" s="32"/>
      <c r="E81" s="1"/>
      <c r="F81" s="2">
        <v>35</v>
      </c>
      <c r="G81" s="11">
        <f t="shared" si="1"/>
        <v>0</v>
      </c>
    </row>
    <row r="82" spans="2:7" ht="14.4" customHeight="1" x14ac:dyDescent="0.3">
      <c r="B82" s="10">
        <f t="shared" si="0"/>
        <v>67</v>
      </c>
      <c r="C82" s="31" t="s">
        <v>76</v>
      </c>
      <c r="D82" s="32"/>
      <c r="E82" s="1"/>
      <c r="F82" s="2">
        <v>27</v>
      </c>
      <c r="G82" s="11">
        <f t="shared" si="1"/>
        <v>0</v>
      </c>
    </row>
    <row r="83" spans="2:7" ht="14.4" customHeight="1" x14ac:dyDescent="0.3">
      <c r="B83" s="10">
        <f t="shared" ref="B83:B128" si="2">B82+1</f>
        <v>68</v>
      </c>
      <c r="C83" s="31" t="s">
        <v>77</v>
      </c>
      <c r="D83" s="32"/>
      <c r="E83" s="1"/>
      <c r="F83" s="2">
        <v>75</v>
      </c>
      <c r="G83" s="11">
        <f t="shared" ref="G83:G146" si="3">E83*F83</f>
        <v>0</v>
      </c>
    </row>
    <row r="84" spans="2:7" ht="14.4" customHeight="1" x14ac:dyDescent="0.3">
      <c r="B84" s="10">
        <f t="shared" si="2"/>
        <v>69</v>
      </c>
      <c r="C84" s="31" t="s">
        <v>78</v>
      </c>
      <c r="D84" s="32"/>
      <c r="E84" s="1"/>
      <c r="F84" s="2">
        <v>75</v>
      </c>
      <c r="G84" s="11">
        <f t="shared" si="3"/>
        <v>0</v>
      </c>
    </row>
    <row r="85" spans="2:7" ht="14.4" customHeight="1" x14ac:dyDescent="0.3">
      <c r="B85" s="10">
        <f t="shared" si="2"/>
        <v>70</v>
      </c>
      <c r="C85" s="31" t="s">
        <v>79</v>
      </c>
      <c r="D85" s="32"/>
      <c r="E85" s="1"/>
      <c r="F85" s="2">
        <v>75</v>
      </c>
      <c r="G85" s="11">
        <f t="shared" si="3"/>
        <v>0</v>
      </c>
    </row>
    <row r="86" spans="2:7" ht="14.4" customHeight="1" x14ac:dyDescent="0.3">
      <c r="B86" s="10">
        <f t="shared" si="2"/>
        <v>71</v>
      </c>
      <c r="C86" s="31" t="s">
        <v>80</v>
      </c>
      <c r="D86" s="32"/>
      <c r="E86" s="1"/>
      <c r="F86" s="2">
        <v>45</v>
      </c>
      <c r="G86" s="11">
        <f t="shared" si="3"/>
        <v>0</v>
      </c>
    </row>
    <row r="87" spans="2:7" ht="14.4" customHeight="1" x14ac:dyDescent="0.3">
      <c r="B87" s="10">
        <f t="shared" si="2"/>
        <v>72</v>
      </c>
      <c r="C87" s="31" t="s">
        <v>81</v>
      </c>
      <c r="D87" s="32"/>
      <c r="E87" s="1"/>
      <c r="F87" s="2">
        <v>90</v>
      </c>
      <c r="G87" s="11">
        <f t="shared" si="3"/>
        <v>0</v>
      </c>
    </row>
    <row r="88" spans="2:7" ht="14.4" customHeight="1" x14ac:dyDescent="0.3">
      <c r="B88" s="10">
        <f t="shared" si="2"/>
        <v>73</v>
      </c>
      <c r="C88" s="31" t="s">
        <v>82</v>
      </c>
      <c r="D88" s="32"/>
      <c r="E88" s="1"/>
      <c r="F88" s="2">
        <v>15</v>
      </c>
      <c r="G88" s="11">
        <f t="shared" si="3"/>
        <v>0</v>
      </c>
    </row>
    <row r="89" spans="2:7" ht="14.4" customHeight="1" x14ac:dyDescent="0.3">
      <c r="B89" s="10">
        <f t="shared" si="2"/>
        <v>74</v>
      </c>
      <c r="C89" s="31" t="s">
        <v>83</v>
      </c>
      <c r="D89" s="32"/>
      <c r="E89" s="1"/>
      <c r="F89" s="2">
        <v>12</v>
      </c>
      <c r="G89" s="11">
        <f>E89*F89</f>
        <v>0</v>
      </c>
    </row>
    <row r="90" spans="2:7" ht="14.4" customHeight="1" x14ac:dyDescent="0.3">
      <c r="B90" s="10">
        <f t="shared" si="2"/>
        <v>75</v>
      </c>
      <c r="C90" s="31" t="s">
        <v>84</v>
      </c>
      <c r="D90" s="32"/>
      <c r="E90" s="1"/>
      <c r="F90" s="2">
        <v>25</v>
      </c>
      <c r="G90" s="11">
        <f>E90*F90</f>
        <v>0</v>
      </c>
    </row>
    <row r="91" spans="2:7" ht="14.4" customHeight="1" x14ac:dyDescent="0.3">
      <c r="B91" s="10">
        <f t="shared" si="2"/>
        <v>76</v>
      </c>
      <c r="C91" s="31" t="s">
        <v>85</v>
      </c>
      <c r="D91" s="32"/>
      <c r="E91" s="1"/>
      <c r="F91" s="2">
        <v>45</v>
      </c>
      <c r="G91" s="11">
        <f t="shared" si="3"/>
        <v>0</v>
      </c>
    </row>
    <row r="92" spans="2:7" ht="14.4" customHeight="1" x14ac:dyDescent="0.3">
      <c r="B92" s="10">
        <f t="shared" si="2"/>
        <v>77</v>
      </c>
      <c r="C92" s="31" t="s">
        <v>86</v>
      </c>
      <c r="D92" s="32"/>
      <c r="E92" s="1"/>
      <c r="F92" s="2">
        <v>25</v>
      </c>
      <c r="G92" s="11">
        <f t="shared" si="3"/>
        <v>0</v>
      </c>
    </row>
    <row r="93" spans="2:7" ht="14.4" customHeight="1" x14ac:dyDescent="0.3">
      <c r="B93" s="10">
        <f t="shared" si="2"/>
        <v>78</v>
      </c>
      <c r="C93" s="31" t="s">
        <v>87</v>
      </c>
      <c r="D93" s="32"/>
      <c r="E93" s="1"/>
      <c r="F93" s="2">
        <v>15</v>
      </c>
      <c r="G93" s="11">
        <f t="shared" si="3"/>
        <v>0</v>
      </c>
    </row>
    <row r="94" spans="2:7" ht="14.4" customHeight="1" x14ac:dyDescent="0.3">
      <c r="B94" s="10">
        <f t="shared" si="2"/>
        <v>79</v>
      </c>
      <c r="C94" s="31" t="s">
        <v>88</v>
      </c>
      <c r="D94" s="32"/>
      <c r="E94" s="1"/>
      <c r="F94" s="2">
        <v>18</v>
      </c>
      <c r="G94" s="11">
        <f t="shared" si="3"/>
        <v>0</v>
      </c>
    </row>
    <row r="95" spans="2:7" ht="14.4" customHeight="1" x14ac:dyDescent="0.3">
      <c r="B95" s="10">
        <f t="shared" si="2"/>
        <v>80</v>
      </c>
      <c r="C95" s="31" t="s">
        <v>89</v>
      </c>
      <c r="D95" s="32"/>
      <c r="E95" s="1"/>
      <c r="F95" s="2">
        <v>18</v>
      </c>
      <c r="G95" s="11">
        <f t="shared" si="3"/>
        <v>0</v>
      </c>
    </row>
    <row r="96" spans="2:7" ht="14.4" customHeight="1" x14ac:dyDescent="0.3">
      <c r="B96" s="10">
        <f t="shared" si="2"/>
        <v>81</v>
      </c>
      <c r="C96" s="31" t="s">
        <v>90</v>
      </c>
      <c r="D96" s="32"/>
      <c r="E96" s="1"/>
      <c r="F96" s="2">
        <v>280</v>
      </c>
      <c r="G96" s="11">
        <f t="shared" si="3"/>
        <v>0</v>
      </c>
    </row>
    <row r="97" spans="2:7" ht="14.4" customHeight="1" x14ac:dyDescent="0.3">
      <c r="B97" s="10">
        <f t="shared" si="2"/>
        <v>82</v>
      </c>
      <c r="C97" s="31" t="s">
        <v>91</v>
      </c>
      <c r="D97" s="32"/>
      <c r="E97" s="1"/>
      <c r="F97" s="2">
        <v>35</v>
      </c>
      <c r="G97" s="11">
        <f t="shared" si="3"/>
        <v>0</v>
      </c>
    </row>
    <row r="98" spans="2:7" ht="14.4" customHeight="1" x14ac:dyDescent="0.3">
      <c r="B98" s="10">
        <f t="shared" si="2"/>
        <v>83</v>
      </c>
      <c r="C98" s="31" t="s">
        <v>92</v>
      </c>
      <c r="D98" s="32"/>
      <c r="E98" s="1"/>
      <c r="F98" s="2">
        <v>46</v>
      </c>
      <c r="G98" s="11">
        <f t="shared" si="3"/>
        <v>0</v>
      </c>
    </row>
    <row r="99" spans="2:7" ht="14.4" customHeight="1" x14ac:dyDescent="0.3">
      <c r="B99" s="10">
        <f t="shared" si="2"/>
        <v>84</v>
      </c>
      <c r="C99" s="31" t="s">
        <v>93</v>
      </c>
      <c r="D99" s="32"/>
      <c r="E99" s="1"/>
      <c r="F99" s="2">
        <v>49</v>
      </c>
      <c r="G99" s="11">
        <f t="shared" si="3"/>
        <v>0</v>
      </c>
    </row>
    <row r="100" spans="2:7" ht="14.4" customHeight="1" x14ac:dyDescent="0.3">
      <c r="B100" s="10">
        <f t="shared" si="2"/>
        <v>85</v>
      </c>
      <c r="C100" s="31" t="s">
        <v>94</v>
      </c>
      <c r="D100" s="32"/>
      <c r="E100" s="1"/>
      <c r="F100" s="2">
        <v>71</v>
      </c>
      <c r="G100" s="11">
        <f t="shared" si="3"/>
        <v>0</v>
      </c>
    </row>
    <row r="101" spans="2:7" ht="14.4" customHeight="1" x14ac:dyDescent="0.3">
      <c r="B101" s="10">
        <f t="shared" si="2"/>
        <v>86</v>
      </c>
      <c r="C101" s="31" t="s">
        <v>95</v>
      </c>
      <c r="D101" s="32"/>
      <c r="E101" s="1"/>
      <c r="F101" s="2">
        <v>12</v>
      </c>
      <c r="G101" s="11">
        <f t="shared" si="3"/>
        <v>0</v>
      </c>
    </row>
    <row r="102" spans="2:7" ht="14.4" customHeight="1" x14ac:dyDescent="0.3">
      <c r="B102" s="10">
        <f t="shared" si="2"/>
        <v>87</v>
      </c>
      <c r="C102" s="31" t="s">
        <v>96</v>
      </c>
      <c r="D102" s="32"/>
      <c r="E102" s="1"/>
      <c r="F102" s="2">
        <v>55</v>
      </c>
      <c r="G102" s="11">
        <f t="shared" si="3"/>
        <v>0</v>
      </c>
    </row>
    <row r="103" spans="2:7" ht="14.4" customHeight="1" x14ac:dyDescent="0.3">
      <c r="B103" s="10">
        <f t="shared" si="2"/>
        <v>88</v>
      </c>
      <c r="C103" s="31" t="s">
        <v>97</v>
      </c>
      <c r="D103" s="32"/>
      <c r="E103" s="1"/>
      <c r="F103" s="2">
        <v>18</v>
      </c>
      <c r="G103" s="11">
        <f t="shared" si="3"/>
        <v>0</v>
      </c>
    </row>
    <row r="104" spans="2:7" ht="14.4" customHeight="1" x14ac:dyDescent="0.3">
      <c r="B104" s="10">
        <f t="shared" si="2"/>
        <v>89</v>
      </c>
      <c r="C104" s="31" t="s">
        <v>98</v>
      </c>
      <c r="D104" s="32"/>
      <c r="E104" s="1"/>
      <c r="F104" s="2">
        <v>70</v>
      </c>
      <c r="G104" s="11">
        <f t="shared" si="3"/>
        <v>0</v>
      </c>
    </row>
    <row r="105" spans="2:7" ht="14.4" customHeight="1" x14ac:dyDescent="0.3">
      <c r="B105" s="10">
        <f t="shared" si="2"/>
        <v>90</v>
      </c>
      <c r="C105" s="31" t="s">
        <v>99</v>
      </c>
      <c r="D105" s="32"/>
      <c r="E105" s="1"/>
      <c r="F105" s="2">
        <v>12</v>
      </c>
      <c r="G105" s="11">
        <f t="shared" si="3"/>
        <v>0</v>
      </c>
    </row>
    <row r="106" spans="2:7" ht="14.4" customHeight="1" x14ac:dyDescent="0.3">
      <c r="B106" s="10">
        <f t="shared" si="2"/>
        <v>91</v>
      </c>
      <c r="C106" s="31" t="s">
        <v>100</v>
      </c>
      <c r="D106" s="32"/>
      <c r="E106" s="1"/>
      <c r="F106" s="2">
        <v>18</v>
      </c>
      <c r="G106" s="11">
        <f t="shared" si="3"/>
        <v>0</v>
      </c>
    </row>
    <row r="107" spans="2:7" ht="14.4" customHeight="1" x14ac:dyDescent="0.3">
      <c r="B107" s="10">
        <f t="shared" si="2"/>
        <v>92</v>
      </c>
      <c r="C107" s="31" t="s">
        <v>101</v>
      </c>
      <c r="D107" s="32"/>
      <c r="E107" s="1"/>
      <c r="F107" s="2">
        <v>15</v>
      </c>
      <c r="G107" s="11">
        <f t="shared" si="3"/>
        <v>0</v>
      </c>
    </row>
    <row r="108" spans="2:7" ht="14.4" customHeight="1" x14ac:dyDescent="0.3">
      <c r="B108" s="10">
        <f t="shared" si="2"/>
        <v>93</v>
      </c>
      <c r="C108" s="31" t="s">
        <v>102</v>
      </c>
      <c r="D108" s="32"/>
      <c r="E108" s="1"/>
      <c r="F108" s="2">
        <v>28</v>
      </c>
      <c r="G108" s="11">
        <f t="shared" si="3"/>
        <v>0</v>
      </c>
    </row>
    <row r="109" spans="2:7" ht="14.4" customHeight="1" x14ac:dyDescent="0.3">
      <c r="B109" s="10">
        <f t="shared" si="2"/>
        <v>94</v>
      </c>
      <c r="C109" s="31" t="s">
        <v>103</v>
      </c>
      <c r="D109" s="32"/>
      <c r="E109" s="1"/>
      <c r="F109" s="2">
        <v>28</v>
      </c>
      <c r="G109" s="11">
        <f t="shared" si="3"/>
        <v>0</v>
      </c>
    </row>
    <row r="110" spans="2:7" ht="14.4" customHeight="1" x14ac:dyDescent="0.3">
      <c r="B110" s="10">
        <f t="shared" si="2"/>
        <v>95</v>
      </c>
      <c r="C110" s="31" t="s">
        <v>105</v>
      </c>
      <c r="D110" s="32"/>
      <c r="E110" s="1"/>
      <c r="F110" s="2">
        <v>38</v>
      </c>
      <c r="G110" s="11">
        <f t="shared" si="3"/>
        <v>0</v>
      </c>
    </row>
    <row r="111" spans="2:7" ht="14.4" customHeight="1" x14ac:dyDescent="0.3">
      <c r="B111" s="10">
        <f t="shared" si="2"/>
        <v>96</v>
      </c>
      <c r="C111" s="31" t="s">
        <v>104</v>
      </c>
      <c r="D111" s="32"/>
      <c r="E111" s="1"/>
      <c r="F111" s="2">
        <v>48</v>
      </c>
      <c r="G111" s="11">
        <f t="shared" si="3"/>
        <v>0</v>
      </c>
    </row>
    <row r="112" spans="2:7" ht="14.4" customHeight="1" x14ac:dyDescent="0.3">
      <c r="B112" s="10">
        <f t="shared" si="2"/>
        <v>97</v>
      </c>
      <c r="C112" s="31" t="s">
        <v>106</v>
      </c>
      <c r="D112" s="32"/>
      <c r="E112" s="1"/>
      <c r="F112" s="2">
        <v>9</v>
      </c>
      <c r="G112" s="11">
        <f t="shared" si="3"/>
        <v>0</v>
      </c>
    </row>
    <row r="113" spans="2:7" ht="14.4" customHeight="1" x14ac:dyDescent="0.3">
      <c r="B113" s="10">
        <f t="shared" si="2"/>
        <v>98</v>
      </c>
      <c r="C113" s="31" t="s">
        <v>107</v>
      </c>
      <c r="D113" s="32"/>
      <c r="E113" s="1"/>
      <c r="F113" s="2">
        <v>65</v>
      </c>
      <c r="G113" s="11">
        <f t="shared" si="3"/>
        <v>0</v>
      </c>
    </row>
    <row r="114" spans="2:7" ht="14.4" customHeight="1" x14ac:dyDescent="0.3">
      <c r="B114" s="10">
        <f t="shared" si="2"/>
        <v>99</v>
      </c>
      <c r="C114" s="31" t="s">
        <v>108</v>
      </c>
      <c r="D114" s="32"/>
      <c r="E114" s="1"/>
      <c r="F114" s="2">
        <v>633</v>
      </c>
      <c r="G114" s="11">
        <f t="shared" si="3"/>
        <v>0</v>
      </c>
    </row>
    <row r="115" spans="2:7" ht="14.4" customHeight="1" x14ac:dyDescent="0.3">
      <c r="B115" s="10">
        <f t="shared" si="2"/>
        <v>100</v>
      </c>
      <c r="C115" s="31" t="s">
        <v>109</v>
      </c>
      <c r="D115" s="32"/>
      <c r="E115" s="1"/>
      <c r="F115" s="2">
        <v>45</v>
      </c>
      <c r="G115" s="11">
        <f t="shared" si="3"/>
        <v>0</v>
      </c>
    </row>
    <row r="116" spans="2:7" ht="14.4" customHeight="1" x14ac:dyDescent="0.3">
      <c r="B116" s="10">
        <f t="shared" si="2"/>
        <v>101</v>
      </c>
      <c r="C116" s="31" t="s">
        <v>110</v>
      </c>
      <c r="D116" s="32"/>
      <c r="E116" s="1"/>
      <c r="F116" s="2">
        <v>18</v>
      </c>
      <c r="G116" s="11">
        <f t="shared" si="3"/>
        <v>0</v>
      </c>
    </row>
    <row r="117" spans="2:7" ht="14.4" customHeight="1" x14ac:dyDescent="0.3">
      <c r="B117" s="10">
        <f t="shared" si="2"/>
        <v>102</v>
      </c>
      <c r="C117" s="31" t="s">
        <v>111</v>
      </c>
      <c r="D117" s="32"/>
      <c r="E117" s="1"/>
      <c r="F117" s="2">
        <v>25</v>
      </c>
      <c r="G117" s="11">
        <f t="shared" si="3"/>
        <v>0</v>
      </c>
    </row>
    <row r="118" spans="2:7" ht="14.4" customHeight="1" x14ac:dyDescent="0.3">
      <c r="B118" s="10">
        <f t="shared" si="2"/>
        <v>103</v>
      </c>
      <c r="C118" s="31" t="s">
        <v>112</v>
      </c>
      <c r="D118" s="32"/>
      <c r="E118" s="1"/>
      <c r="F118" s="2">
        <v>30</v>
      </c>
      <c r="G118" s="11">
        <f t="shared" si="3"/>
        <v>0</v>
      </c>
    </row>
    <row r="119" spans="2:7" ht="14.4" customHeight="1" x14ac:dyDescent="0.3">
      <c r="B119" s="10">
        <f t="shared" si="2"/>
        <v>104</v>
      </c>
      <c r="C119" s="31" t="s">
        <v>113</v>
      </c>
      <c r="D119" s="32"/>
      <c r="E119" s="1"/>
      <c r="F119" s="2">
        <v>60</v>
      </c>
      <c r="G119" s="11">
        <f t="shared" si="3"/>
        <v>0</v>
      </c>
    </row>
    <row r="120" spans="2:7" ht="14.4" customHeight="1" x14ac:dyDescent="0.3">
      <c r="B120" s="10">
        <f t="shared" si="2"/>
        <v>105</v>
      </c>
      <c r="C120" s="31" t="s">
        <v>114</v>
      </c>
      <c r="D120" s="32"/>
      <c r="E120" s="1"/>
      <c r="F120" s="2">
        <v>68</v>
      </c>
      <c r="G120" s="11">
        <f t="shared" si="3"/>
        <v>0</v>
      </c>
    </row>
    <row r="121" spans="2:7" ht="14.4" customHeight="1" x14ac:dyDescent="0.3">
      <c r="B121" s="10">
        <f t="shared" si="2"/>
        <v>106</v>
      </c>
      <c r="C121" s="31" t="s">
        <v>115</v>
      </c>
      <c r="D121" s="32"/>
      <c r="E121" s="1"/>
      <c r="F121" s="2">
        <v>19</v>
      </c>
      <c r="G121" s="11">
        <f t="shared" si="3"/>
        <v>0</v>
      </c>
    </row>
    <row r="122" spans="2:7" ht="14.4" customHeight="1" x14ac:dyDescent="0.3">
      <c r="B122" s="10">
        <f t="shared" si="2"/>
        <v>107</v>
      </c>
      <c r="C122" s="31" t="s">
        <v>116</v>
      </c>
      <c r="D122" s="32"/>
      <c r="E122" s="1"/>
      <c r="F122" s="2">
        <v>8</v>
      </c>
      <c r="G122" s="11">
        <f t="shared" si="3"/>
        <v>0</v>
      </c>
    </row>
    <row r="123" spans="2:7" ht="14.4" customHeight="1" x14ac:dyDescent="0.3">
      <c r="B123" s="10">
        <f t="shared" si="2"/>
        <v>108</v>
      </c>
      <c r="C123" s="31" t="s">
        <v>117</v>
      </c>
      <c r="D123" s="32"/>
      <c r="E123" s="1"/>
      <c r="F123" s="2">
        <v>40</v>
      </c>
      <c r="G123" s="11">
        <f t="shared" si="3"/>
        <v>0</v>
      </c>
    </row>
    <row r="124" spans="2:7" ht="14.4" customHeight="1" x14ac:dyDescent="0.3">
      <c r="B124" s="10">
        <f t="shared" si="2"/>
        <v>109</v>
      </c>
      <c r="C124" s="31" t="s">
        <v>118</v>
      </c>
      <c r="D124" s="32"/>
      <c r="E124" s="1"/>
      <c r="F124" s="2">
        <v>39</v>
      </c>
      <c r="G124" s="11">
        <f t="shared" si="3"/>
        <v>0</v>
      </c>
    </row>
    <row r="125" spans="2:7" ht="14.4" customHeight="1" x14ac:dyDescent="0.3">
      <c r="B125" s="10">
        <f t="shared" si="2"/>
        <v>110</v>
      </c>
      <c r="C125" s="31" t="s">
        <v>119</v>
      </c>
      <c r="D125" s="32"/>
      <c r="E125" s="1"/>
      <c r="F125" s="2">
        <v>12</v>
      </c>
      <c r="G125" s="11">
        <f t="shared" si="3"/>
        <v>0</v>
      </c>
    </row>
    <row r="126" spans="2:7" ht="14.4" customHeight="1" x14ac:dyDescent="0.3">
      <c r="B126" s="10">
        <f t="shared" si="2"/>
        <v>111</v>
      </c>
      <c r="C126" s="31" t="s">
        <v>120</v>
      </c>
      <c r="D126" s="32"/>
      <c r="E126" s="1"/>
      <c r="F126" s="2">
        <v>28</v>
      </c>
      <c r="G126" s="11">
        <f t="shared" si="3"/>
        <v>0</v>
      </c>
    </row>
    <row r="127" spans="2:7" ht="14.4" customHeight="1" x14ac:dyDescent="0.3">
      <c r="B127" s="10">
        <f t="shared" si="2"/>
        <v>112</v>
      </c>
      <c r="C127" s="31" t="s">
        <v>121</v>
      </c>
      <c r="D127" s="32"/>
      <c r="E127" s="1"/>
      <c r="F127" s="2">
        <v>39</v>
      </c>
      <c r="G127" s="11">
        <f t="shared" si="3"/>
        <v>0</v>
      </c>
    </row>
    <row r="128" spans="2:7" ht="14.4" customHeight="1" x14ac:dyDescent="0.3">
      <c r="B128" s="10">
        <f t="shared" si="2"/>
        <v>113</v>
      </c>
      <c r="C128" s="31" t="s">
        <v>122</v>
      </c>
      <c r="D128" s="32"/>
      <c r="E128" s="1"/>
      <c r="F128" s="2">
        <v>80</v>
      </c>
      <c r="G128" s="11">
        <f t="shared" si="3"/>
        <v>0</v>
      </c>
    </row>
    <row r="129" spans="2:7" ht="14.4" customHeight="1" x14ac:dyDescent="0.3">
      <c r="B129" s="10">
        <f>B128+1</f>
        <v>114</v>
      </c>
      <c r="C129" s="31" t="s">
        <v>123</v>
      </c>
      <c r="D129" s="32"/>
      <c r="E129" s="1"/>
      <c r="F129" s="2">
        <v>23</v>
      </c>
      <c r="G129" s="11">
        <f t="shared" si="3"/>
        <v>0</v>
      </c>
    </row>
    <row r="130" spans="2:7" ht="14.4" customHeight="1" x14ac:dyDescent="0.3">
      <c r="B130" s="10">
        <v>116</v>
      </c>
      <c r="C130" s="52" t="s">
        <v>124</v>
      </c>
      <c r="D130" s="52"/>
      <c r="E130" s="1"/>
      <c r="F130" s="2">
        <v>28</v>
      </c>
      <c r="G130" s="11">
        <f t="shared" si="3"/>
        <v>0</v>
      </c>
    </row>
    <row r="131" spans="2:7" ht="14.4" customHeight="1" x14ac:dyDescent="0.3">
      <c r="B131" s="10">
        <v>117</v>
      </c>
      <c r="C131" s="38" t="s">
        <v>135</v>
      </c>
      <c r="D131" s="39"/>
      <c r="E131" s="1"/>
      <c r="F131" s="2">
        <v>150</v>
      </c>
      <c r="G131" s="11">
        <f t="shared" si="3"/>
        <v>0</v>
      </c>
    </row>
    <row r="132" spans="2:7" ht="14.4" customHeight="1" x14ac:dyDescent="0.3">
      <c r="B132" s="10">
        <v>118</v>
      </c>
      <c r="C132" s="38" t="s">
        <v>136</v>
      </c>
      <c r="D132" s="39"/>
      <c r="E132" s="1"/>
      <c r="F132" s="2">
        <v>99</v>
      </c>
      <c r="G132" s="11">
        <f t="shared" si="3"/>
        <v>0</v>
      </c>
    </row>
    <row r="133" spans="2:7" ht="14.4" customHeight="1" x14ac:dyDescent="0.3">
      <c r="B133" s="10">
        <v>119</v>
      </c>
      <c r="C133" s="38" t="s">
        <v>137</v>
      </c>
      <c r="D133" s="39"/>
      <c r="E133" s="1"/>
      <c r="F133" s="2">
        <v>398</v>
      </c>
      <c r="G133" s="11">
        <f t="shared" si="3"/>
        <v>0</v>
      </c>
    </row>
    <row r="134" spans="2:7" ht="14.4" customHeight="1" x14ac:dyDescent="0.3">
      <c r="B134" s="10">
        <v>120</v>
      </c>
      <c r="C134" s="38" t="s">
        <v>138</v>
      </c>
      <c r="D134" s="39"/>
      <c r="E134" s="1"/>
      <c r="F134" s="2">
        <v>155</v>
      </c>
      <c r="G134" s="11">
        <f t="shared" si="3"/>
        <v>0</v>
      </c>
    </row>
    <row r="135" spans="2:7" ht="14.4" customHeight="1" x14ac:dyDescent="0.3">
      <c r="B135" s="10">
        <v>121</v>
      </c>
      <c r="C135" s="38" t="s">
        <v>139</v>
      </c>
      <c r="D135" s="39"/>
      <c r="E135" s="1"/>
      <c r="F135" s="2">
        <v>160</v>
      </c>
      <c r="G135" s="11">
        <f t="shared" si="3"/>
        <v>0</v>
      </c>
    </row>
    <row r="136" spans="2:7" x14ac:dyDescent="0.3">
      <c r="B136" s="10">
        <v>122</v>
      </c>
      <c r="C136" s="38" t="s">
        <v>140</v>
      </c>
      <c r="D136" s="39"/>
      <c r="E136" s="1"/>
      <c r="F136" s="2">
        <v>124</v>
      </c>
      <c r="G136" s="11">
        <f t="shared" si="3"/>
        <v>0</v>
      </c>
    </row>
    <row r="137" spans="2:7" x14ac:dyDescent="0.3">
      <c r="B137" s="10">
        <v>123</v>
      </c>
      <c r="C137" s="38" t="s">
        <v>141</v>
      </c>
      <c r="D137" s="39"/>
      <c r="E137" s="1"/>
      <c r="F137" s="2">
        <v>182</v>
      </c>
      <c r="G137" s="11">
        <f t="shared" si="3"/>
        <v>0</v>
      </c>
    </row>
    <row r="138" spans="2:7" x14ac:dyDescent="0.3">
      <c r="B138" s="10">
        <v>124</v>
      </c>
      <c r="C138" s="38" t="s">
        <v>142</v>
      </c>
      <c r="D138" s="39"/>
      <c r="E138" s="1"/>
      <c r="F138" s="2">
        <v>397</v>
      </c>
      <c r="G138" s="11">
        <f t="shared" si="3"/>
        <v>0</v>
      </c>
    </row>
    <row r="139" spans="2:7" x14ac:dyDescent="0.3">
      <c r="B139" s="10">
        <v>125</v>
      </c>
      <c r="C139" s="38" t="s">
        <v>143</v>
      </c>
      <c r="D139" s="39"/>
      <c r="E139" s="1"/>
      <c r="F139" s="2">
        <v>160</v>
      </c>
      <c r="G139" s="11">
        <f t="shared" si="3"/>
        <v>0</v>
      </c>
    </row>
    <row r="140" spans="2:7" x14ac:dyDescent="0.3">
      <c r="B140" s="10">
        <v>126</v>
      </c>
      <c r="C140" s="38" t="s">
        <v>144</v>
      </c>
      <c r="D140" s="39"/>
      <c r="E140" s="1"/>
      <c r="F140" s="2">
        <v>215</v>
      </c>
      <c r="G140" s="11">
        <f t="shared" si="3"/>
        <v>0</v>
      </c>
    </row>
    <row r="141" spans="2:7" x14ac:dyDescent="0.3">
      <c r="B141" s="10">
        <v>127</v>
      </c>
      <c r="C141" s="38" t="s">
        <v>145</v>
      </c>
      <c r="D141" s="39"/>
      <c r="E141" s="1"/>
      <c r="F141" s="2">
        <v>540</v>
      </c>
      <c r="G141" s="11">
        <f t="shared" si="3"/>
        <v>0</v>
      </c>
    </row>
    <row r="142" spans="2:7" x14ac:dyDescent="0.3">
      <c r="B142" s="10">
        <v>128</v>
      </c>
      <c r="C142" s="38" t="s">
        <v>146</v>
      </c>
      <c r="D142" s="39"/>
      <c r="E142" s="1"/>
      <c r="F142" s="2">
        <v>298</v>
      </c>
      <c r="G142" s="11">
        <f t="shared" si="3"/>
        <v>0</v>
      </c>
    </row>
    <row r="143" spans="2:7" x14ac:dyDescent="0.3">
      <c r="B143" s="10">
        <v>129</v>
      </c>
      <c r="C143" s="38" t="s">
        <v>147</v>
      </c>
      <c r="D143" s="39"/>
      <c r="E143" s="1"/>
      <c r="F143" s="2">
        <v>470</v>
      </c>
      <c r="G143" s="11">
        <f t="shared" si="3"/>
        <v>0</v>
      </c>
    </row>
    <row r="144" spans="2:7" x14ac:dyDescent="0.3">
      <c r="B144" s="10">
        <v>130</v>
      </c>
      <c r="C144" s="38" t="s">
        <v>148</v>
      </c>
      <c r="D144" s="39"/>
      <c r="E144" s="1"/>
      <c r="F144" s="2">
        <v>470</v>
      </c>
      <c r="G144" s="11">
        <f t="shared" si="3"/>
        <v>0</v>
      </c>
    </row>
    <row r="145" spans="2:7" x14ac:dyDescent="0.3">
      <c r="B145" s="10">
        <v>131</v>
      </c>
      <c r="C145" s="38" t="s">
        <v>149</v>
      </c>
      <c r="D145" s="39"/>
      <c r="E145" s="1"/>
      <c r="F145" s="2">
        <v>278</v>
      </c>
      <c r="G145" s="11">
        <f t="shared" si="3"/>
        <v>0</v>
      </c>
    </row>
    <row r="146" spans="2:7" x14ac:dyDescent="0.3">
      <c r="B146" s="10">
        <v>132</v>
      </c>
      <c r="C146" s="38" t="s">
        <v>150</v>
      </c>
      <c r="D146" s="39"/>
      <c r="E146" s="1"/>
      <c r="F146" s="2">
        <v>103</v>
      </c>
      <c r="G146" s="11">
        <f t="shared" si="3"/>
        <v>0</v>
      </c>
    </row>
    <row r="147" spans="2:7" x14ac:dyDescent="0.3">
      <c r="B147" s="10">
        <v>133</v>
      </c>
      <c r="C147" s="38" t="s">
        <v>151</v>
      </c>
      <c r="D147" s="39"/>
      <c r="E147" s="1"/>
      <c r="F147" s="2">
        <v>155</v>
      </c>
      <c r="G147" s="11">
        <f t="shared" ref="G147:G170" si="4">E147*F147</f>
        <v>0</v>
      </c>
    </row>
    <row r="148" spans="2:7" x14ac:dyDescent="0.3">
      <c r="B148" s="10">
        <v>134</v>
      </c>
      <c r="C148" s="38" t="s">
        <v>152</v>
      </c>
      <c r="D148" s="39"/>
      <c r="E148" s="1"/>
      <c r="F148" s="2">
        <v>110</v>
      </c>
      <c r="G148" s="11">
        <f t="shared" si="4"/>
        <v>0</v>
      </c>
    </row>
    <row r="149" spans="2:7" x14ac:dyDescent="0.3">
      <c r="B149" s="10">
        <v>135</v>
      </c>
      <c r="C149" s="38" t="s">
        <v>153</v>
      </c>
      <c r="D149" s="39"/>
      <c r="E149" s="1"/>
      <c r="F149" s="2">
        <v>161</v>
      </c>
      <c r="G149" s="11">
        <f t="shared" si="4"/>
        <v>0</v>
      </c>
    </row>
    <row r="150" spans="2:7" x14ac:dyDescent="0.3">
      <c r="B150" s="10">
        <v>136</v>
      </c>
      <c r="C150" s="38" t="s">
        <v>154</v>
      </c>
      <c r="D150" s="39"/>
      <c r="E150" s="1"/>
      <c r="F150" s="2">
        <v>148</v>
      </c>
      <c r="G150" s="11">
        <f t="shared" si="4"/>
        <v>0</v>
      </c>
    </row>
    <row r="151" spans="2:7" x14ac:dyDescent="0.3">
      <c r="B151" s="10">
        <v>137</v>
      </c>
      <c r="C151" s="38" t="s">
        <v>155</v>
      </c>
      <c r="D151" s="39"/>
      <c r="E151" s="1"/>
      <c r="F151" s="2">
        <v>161</v>
      </c>
      <c r="G151" s="11">
        <f t="shared" si="4"/>
        <v>0</v>
      </c>
    </row>
    <row r="152" spans="2:7" x14ac:dyDescent="0.3">
      <c r="B152" s="10">
        <v>138</v>
      </c>
      <c r="C152" s="38" t="s">
        <v>156</v>
      </c>
      <c r="D152" s="39"/>
      <c r="E152" s="1"/>
      <c r="F152" s="2">
        <v>125</v>
      </c>
      <c r="G152" s="11">
        <f t="shared" si="4"/>
        <v>0</v>
      </c>
    </row>
    <row r="153" spans="2:7" x14ac:dyDescent="0.3">
      <c r="B153" s="10">
        <v>139</v>
      </c>
      <c r="C153" s="38" t="s">
        <v>157</v>
      </c>
      <c r="D153" s="39"/>
      <c r="E153" s="1"/>
      <c r="F153" s="2">
        <v>136</v>
      </c>
      <c r="G153" s="11">
        <f t="shared" si="4"/>
        <v>0</v>
      </c>
    </row>
    <row r="154" spans="2:7" x14ac:dyDescent="0.3">
      <c r="B154" s="10"/>
      <c r="C154" s="50"/>
      <c r="D154" s="50"/>
      <c r="E154" s="48" t="s">
        <v>127</v>
      </c>
      <c r="F154" s="48"/>
      <c r="G154" s="13">
        <f>SUM(G16:INDEX(G:G, ROW()-1))</f>
        <v>0</v>
      </c>
    </row>
    <row r="155" spans="2:7" x14ac:dyDescent="0.3">
      <c r="B155" s="10"/>
      <c r="C155" s="50"/>
      <c r="D155" s="50"/>
      <c r="E155" s="48" t="s">
        <v>128</v>
      </c>
      <c r="F155" s="48"/>
      <c r="G155" s="13">
        <f>IF(OR(G9&gt;=60, G11), G154*0.2, 0)</f>
        <v>0</v>
      </c>
    </row>
    <row r="156" spans="2:7" ht="15" thickBot="1" x14ac:dyDescent="0.35">
      <c r="B156" s="12"/>
      <c r="C156" s="51"/>
      <c r="D156" s="51"/>
      <c r="E156" s="49" t="s">
        <v>4</v>
      </c>
      <c r="F156" s="49"/>
      <c r="G156" s="14">
        <f>G154-G155</f>
        <v>0</v>
      </c>
    </row>
    <row r="157" spans="2:7" x14ac:dyDescent="0.3">
      <c r="B157" s="44" t="s">
        <v>129</v>
      </c>
      <c r="C157" s="44"/>
      <c r="D157" s="44"/>
      <c r="E157" s="44"/>
      <c r="F157" s="44"/>
      <c r="G157" s="44"/>
    </row>
    <row r="159" spans="2:7" x14ac:dyDescent="0.3">
      <c r="E159" s="45" t="s">
        <v>130</v>
      </c>
      <c r="F159" s="45"/>
      <c r="G159" s="45"/>
    </row>
    <row r="160" spans="2:7" x14ac:dyDescent="0.3">
      <c r="B160" s="40"/>
      <c r="C160" s="40"/>
      <c r="F160" s="40"/>
      <c r="G160" s="40"/>
    </row>
    <row r="161" spans="2:7" x14ac:dyDescent="0.3">
      <c r="B161" s="46"/>
      <c r="C161" s="46"/>
      <c r="F161" s="46"/>
      <c r="G161" s="46"/>
    </row>
    <row r="162" spans="2:7" x14ac:dyDescent="0.3">
      <c r="B162" s="47" t="s">
        <v>131</v>
      </c>
      <c r="C162" s="47"/>
    </row>
  </sheetData>
  <mergeCells count="155">
    <mergeCell ref="C156:D156"/>
    <mergeCell ref="E156:F156"/>
    <mergeCell ref="B157:G157"/>
    <mergeCell ref="E159:G159"/>
    <mergeCell ref="B160:C161"/>
    <mergeCell ref="F160:G161"/>
    <mergeCell ref="B162:C162"/>
    <mergeCell ref="C149:D149"/>
    <mergeCell ref="C150:D150"/>
    <mergeCell ref="C151:D151"/>
    <mergeCell ref="C152:D152"/>
    <mergeCell ref="C153:D153"/>
    <mergeCell ref="C154:D154"/>
    <mergeCell ref="E154:F154"/>
    <mergeCell ref="C155:D155"/>
    <mergeCell ref="E155:F155"/>
    <mergeCell ref="C140:D140"/>
    <mergeCell ref="C141:D141"/>
    <mergeCell ref="C142:D142"/>
    <mergeCell ref="C143:D143"/>
    <mergeCell ref="C144:D144"/>
    <mergeCell ref="C145:D145"/>
    <mergeCell ref="C146:D146"/>
    <mergeCell ref="C147:D147"/>
    <mergeCell ref="C148:D148"/>
    <mergeCell ref="C127:D127"/>
    <mergeCell ref="C128:D128"/>
    <mergeCell ref="C129:D129"/>
    <mergeCell ref="C122:D122"/>
    <mergeCell ref="C123:D123"/>
    <mergeCell ref="C124:D124"/>
    <mergeCell ref="C125:D125"/>
    <mergeCell ref="C126:D126"/>
    <mergeCell ref="C117:D117"/>
    <mergeCell ref="C118:D118"/>
    <mergeCell ref="C119:D119"/>
    <mergeCell ref="C120:D120"/>
    <mergeCell ref="C121:D121"/>
    <mergeCell ref="C112:D112"/>
    <mergeCell ref="C113:D113"/>
    <mergeCell ref="C114:D114"/>
    <mergeCell ref="C115:D115"/>
    <mergeCell ref="C116:D116"/>
    <mergeCell ref="C107:D107"/>
    <mergeCell ref="C108:D108"/>
    <mergeCell ref="C109:D109"/>
    <mergeCell ref="C110:D110"/>
    <mergeCell ref="C111:D111"/>
    <mergeCell ref="C102:D102"/>
    <mergeCell ref="C103:D103"/>
    <mergeCell ref="C104:D104"/>
    <mergeCell ref="C105:D105"/>
    <mergeCell ref="C106:D106"/>
    <mergeCell ref="C97:D97"/>
    <mergeCell ref="C98:D98"/>
    <mergeCell ref="C99:D99"/>
    <mergeCell ref="C100:D100"/>
    <mergeCell ref="C101:D101"/>
    <mergeCell ref="C92:D92"/>
    <mergeCell ref="C93:D93"/>
    <mergeCell ref="C94:D94"/>
    <mergeCell ref="C95:D95"/>
    <mergeCell ref="C96:D96"/>
    <mergeCell ref="C87:D87"/>
    <mergeCell ref="C88:D88"/>
    <mergeCell ref="C89:D89"/>
    <mergeCell ref="C90:D90"/>
    <mergeCell ref="C91:D91"/>
    <mergeCell ref="C82:D82"/>
    <mergeCell ref="C83:D83"/>
    <mergeCell ref="C84:D84"/>
    <mergeCell ref="C85:D85"/>
    <mergeCell ref="C86:D86"/>
    <mergeCell ref="C77:D77"/>
    <mergeCell ref="C78:D78"/>
    <mergeCell ref="C79:D79"/>
    <mergeCell ref="C80:D80"/>
    <mergeCell ref="C81:D81"/>
    <mergeCell ref="C72:D72"/>
    <mergeCell ref="C73:D73"/>
    <mergeCell ref="C74:D74"/>
    <mergeCell ref="C75:D75"/>
    <mergeCell ref="C76:D76"/>
    <mergeCell ref="C67:D67"/>
    <mergeCell ref="C68:D68"/>
    <mergeCell ref="C69:D69"/>
    <mergeCell ref="C70:D70"/>
    <mergeCell ref="C71:D71"/>
    <mergeCell ref="C62:D62"/>
    <mergeCell ref="C63:D63"/>
    <mergeCell ref="C64:D64"/>
    <mergeCell ref="C65:D65"/>
    <mergeCell ref="C66:D66"/>
    <mergeCell ref="C57:D57"/>
    <mergeCell ref="C58:D58"/>
    <mergeCell ref="C59:D59"/>
    <mergeCell ref="C60:D60"/>
    <mergeCell ref="C61:D61"/>
    <mergeCell ref="C52:D52"/>
    <mergeCell ref="C53:D53"/>
    <mergeCell ref="C54:D54"/>
    <mergeCell ref="C55:D55"/>
    <mergeCell ref="C56:D56"/>
    <mergeCell ref="C47:D47"/>
    <mergeCell ref="C48:D48"/>
    <mergeCell ref="C49:D49"/>
    <mergeCell ref="C50:D50"/>
    <mergeCell ref="C51:D51"/>
    <mergeCell ref="C43:D43"/>
    <mergeCell ref="C44:D44"/>
    <mergeCell ref="C45:D45"/>
    <mergeCell ref="C46:D46"/>
    <mergeCell ref="C37:D37"/>
    <mergeCell ref="C38:D38"/>
    <mergeCell ref="C39:D39"/>
    <mergeCell ref="C40:D40"/>
    <mergeCell ref="C41:D41"/>
    <mergeCell ref="C34:D34"/>
    <mergeCell ref="C35:D35"/>
    <mergeCell ref="C36:D36"/>
    <mergeCell ref="C27:D27"/>
    <mergeCell ref="C28:D28"/>
    <mergeCell ref="C29:D29"/>
    <mergeCell ref="C30:D30"/>
    <mergeCell ref="C31:D31"/>
    <mergeCell ref="C42:D42"/>
    <mergeCell ref="C25:D25"/>
    <mergeCell ref="C26:D26"/>
    <mergeCell ref="C17:D17"/>
    <mergeCell ref="C18:D18"/>
    <mergeCell ref="C19:D19"/>
    <mergeCell ref="C20:D20"/>
    <mergeCell ref="C21:D21"/>
    <mergeCell ref="C32:D32"/>
    <mergeCell ref="C33:D33"/>
    <mergeCell ref="B2:G2"/>
    <mergeCell ref="B3:G3"/>
    <mergeCell ref="B5:G5"/>
    <mergeCell ref="C10:D10"/>
    <mergeCell ref="C15:D15"/>
    <mergeCell ref="C16:D16"/>
    <mergeCell ref="C22:D22"/>
    <mergeCell ref="C23:D23"/>
    <mergeCell ref="C24:D24"/>
    <mergeCell ref="C9:D9"/>
    <mergeCell ref="C139:D139"/>
    <mergeCell ref="C130:D130"/>
    <mergeCell ref="C131:D131"/>
    <mergeCell ref="C133:D133"/>
    <mergeCell ref="C132:D132"/>
    <mergeCell ref="C134:D134"/>
    <mergeCell ref="C135:D135"/>
    <mergeCell ref="C136:D136"/>
    <mergeCell ref="C137:D137"/>
    <mergeCell ref="C138:D138"/>
  </mergeCells>
  <dataValidations count="1">
    <dataValidation type="whole" operator="greaterThanOrEqual" allowBlank="1" showInputMessage="1" showErrorMessage="1" errorTitle="Invalid Input" error="Please input positive whole numbers only." sqref="E16:E153" xr:uid="{EB8EF77B-0CB4-404E-B770-DA901AC1BACA}">
      <formula1>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20" r:id="rId3" name="Tools_Label">
          <controlPr defaultSize="0" autoLine="0" r:id="rId4">
            <anchor moveWithCells="1">
              <from>
                <xdr:col>8</xdr:col>
                <xdr:colOff>274320</xdr:colOff>
                <xdr:row>9</xdr:row>
                <xdr:rowOff>129540</xdr:rowOff>
              </from>
              <to>
                <xdr:col>9</xdr:col>
                <xdr:colOff>2484120</xdr:colOff>
                <xdr:row>10</xdr:row>
                <xdr:rowOff>38100</xdr:rowOff>
              </to>
            </anchor>
          </controlPr>
        </control>
      </mc:Choice>
      <mc:Fallback>
        <control shapeId="2120" r:id="rId3" name="Tools_Label"/>
      </mc:Fallback>
    </mc:AlternateContent>
    <mc:AlternateContent xmlns:mc="http://schemas.openxmlformats.org/markup-compatibility/2006">
      <mc:Choice Requires="x14">
        <control shapeId="2144" r:id="rId5" name="Searchbar">
          <controlPr locked="0" defaultSize="0" autoLine="0" linkedCell="C13" r:id="rId6">
            <anchor moveWithCells="1">
              <from>
                <xdr:col>1</xdr:col>
                <xdr:colOff>586740</xdr:colOff>
                <xdr:row>11</xdr:row>
                <xdr:rowOff>129540</xdr:rowOff>
              </from>
              <to>
                <xdr:col>4</xdr:col>
                <xdr:colOff>701040</xdr:colOff>
                <xdr:row>12</xdr:row>
                <xdr:rowOff>160020</xdr:rowOff>
              </to>
            </anchor>
          </controlPr>
        </control>
      </mc:Choice>
      <mc:Fallback>
        <control shapeId="2144" r:id="rId5" name="Searchbar"/>
      </mc:Fallback>
    </mc:AlternateContent>
    <mc:AlternateContent xmlns:mc="http://schemas.openxmlformats.org/markup-compatibility/2006">
      <mc:Choice Requires="x14">
        <control shapeId="2147" r:id="rId7" name="Label1">
          <controlPr defaultSize="0" autoLine="0" r:id="rId8">
            <anchor moveWithCells="1">
              <from>
                <xdr:col>1</xdr:col>
                <xdr:colOff>22860</xdr:colOff>
                <xdr:row>11</xdr:row>
                <xdr:rowOff>137160</xdr:rowOff>
              </from>
              <to>
                <xdr:col>1</xdr:col>
                <xdr:colOff>556260</xdr:colOff>
                <xdr:row>12</xdr:row>
                <xdr:rowOff>144780</xdr:rowOff>
              </to>
            </anchor>
          </controlPr>
        </control>
      </mc:Choice>
      <mc:Fallback>
        <control shapeId="2147" r:id="rId7" name="Label1"/>
      </mc:Fallback>
    </mc:AlternateContent>
    <mc:AlternateContent xmlns:mc="http://schemas.openxmlformats.org/markup-compatibility/2006">
      <mc:Choice Requires="x14">
        <control shapeId="2198" r:id="rId9" name="PWD_Discount_Toggle">
          <controlPr locked="0" defaultSize="0" autoLine="0" autoPict="0" linkedCell="G11" r:id="rId10">
            <anchor moveWithCells="1" sizeWithCells="1">
              <from>
                <xdr:col>5</xdr:col>
                <xdr:colOff>38100</xdr:colOff>
                <xdr:row>10</xdr:row>
                <xdr:rowOff>7620</xdr:rowOff>
              </from>
              <to>
                <xdr:col>6</xdr:col>
                <xdr:colOff>624840</xdr:colOff>
                <xdr:row>10</xdr:row>
                <xdr:rowOff>198120</xdr:rowOff>
              </to>
            </anchor>
          </controlPr>
        </control>
      </mc:Choice>
      <mc:Fallback>
        <control shapeId="2198" r:id="rId9" name="PWD_Discount_Toggle"/>
      </mc:Fallback>
    </mc:AlternateContent>
    <mc:AlternateContent xmlns:mc="http://schemas.openxmlformats.org/markup-compatibility/2006">
      <mc:Choice Requires="x14">
        <control shapeId="2055" r:id="rId11" name="Button 7">
          <controlPr locked="0" defaultSize="0" autoFill="0" autoPict="0" macro="[0]!Sheet1.clearSheet">
            <anchor moveWithCells="1" sizeWithCells="1">
              <from>
                <xdr:col>8</xdr:col>
                <xdr:colOff>335280</xdr:colOff>
                <xdr:row>10</xdr:row>
                <xdr:rowOff>205740</xdr:rowOff>
              </from>
              <to>
                <xdr:col>9</xdr:col>
                <xdr:colOff>632460</xdr:colOff>
                <xdr:row>12</xdr:row>
                <xdr:rowOff>129540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6" r:id="rId12" name="Button 68">
          <controlPr locked="0" defaultSize="0" autoFill="0" autoPict="0" macro="[0]!Sheet1.SaveAsPDF">
            <anchor moveWithCells="1" sizeWithCells="1">
              <from>
                <xdr:col>9</xdr:col>
                <xdr:colOff>762000</xdr:colOff>
                <xdr:row>10</xdr:row>
                <xdr:rowOff>205740</xdr:rowOff>
              </from>
              <to>
                <xdr:col>9</xdr:col>
                <xdr:colOff>2423160</xdr:colOff>
                <xdr:row>12</xdr:row>
                <xdr:rowOff>129540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5" r:id="rId13" name="Button 97">
          <controlPr locked="0" defaultSize="0" autoFill="0" autoPict="0" macro="[0]!Sheet1.FilterBySearchText">
            <anchor moveWithCells="1" sizeWithCells="1">
              <from>
                <xdr:col>4</xdr:col>
                <xdr:colOff>731520</xdr:colOff>
                <xdr:row>11</xdr:row>
                <xdr:rowOff>137160</xdr:rowOff>
              </from>
              <to>
                <xdr:col>6</xdr:col>
                <xdr:colOff>121920</xdr:colOff>
                <xdr:row>12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46" r:id="rId14" name="Button 98">
          <controlPr locked="0" defaultSize="0" autoFill="0" autoPict="0" macro="[0]!Sheet1.ClearSearchText">
            <anchor moveWithCells="1" sizeWithCells="1">
              <from>
                <xdr:col>6</xdr:col>
                <xdr:colOff>144780</xdr:colOff>
                <xdr:row>11</xdr:row>
                <xdr:rowOff>144780</xdr:rowOff>
              </from>
              <to>
                <xdr:col>7</xdr:col>
                <xdr:colOff>0</xdr:colOff>
                <xdr:row>12</xdr:row>
                <xdr:rowOff>144780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FORMAT (LOCKED)</vt:lpstr>
      <vt:lpstr>EMPTY RECEIPT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 Yaneza</dc:creator>
  <cp:keywords>System;VBA;Excel Scripts</cp:keywords>
  <cp:lastModifiedBy>Kai</cp:lastModifiedBy>
  <cp:lastPrinted>2024-08-11T15:52:02Z</cp:lastPrinted>
  <dcterms:created xsi:type="dcterms:W3CDTF">2024-08-07T14:35:25Z</dcterms:created>
  <dcterms:modified xsi:type="dcterms:W3CDTF">2024-08-17T13:16:20Z</dcterms:modified>
</cp:coreProperties>
</file>